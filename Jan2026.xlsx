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SMA ATTENDANCE SYSTEM\"/>
    </mc:Choice>
  </mc:AlternateContent>
  <xr:revisionPtr revIDLastSave="0" documentId="13_ncr:1_{81A8EB7D-7F7E-4C98-AC87-47E6A6E5F61F}" xr6:coauthVersionLast="47" xr6:coauthVersionMax="47" xr10:uidLastSave="{00000000-0000-0000-0000-000000000000}"/>
  <bookViews>
    <workbookView xWindow="-120" yWindow="-120" windowWidth="38640" windowHeight="21120" xr2:uid="{7414C265-749A-43FE-B4DE-62382056E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U23" i="1" l="1"/>
  <c r="CX23" i="1" s="1"/>
  <c r="CT23" i="1"/>
  <c r="CW23" i="1" s="1"/>
  <c r="CY23" i="1" s="1"/>
  <c r="CS23" i="1"/>
  <c r="CX22" i="1"/>
  <c r="CU22" i="1"/>
  <c r="CT22" i="1"/>
  <c r="CW22" i="1" s="1"/>
  <c r="CY22" i="1" s="1"/>
  <c r="CS22" i="1"/>
  <c r="CU21" i="1"/>
  <c r="CX21" i="1" s="1"/>
  <c r="CT21" i="1"/>
  <c r="CW21" i="1" s="1"/>
  <c r="CY21" i="1" s="1"/>
  <c r="CS21" i="1"/>
  <c r="CU20" i="1"/>
  <c r="CX20" i="1" s="1"/>
  <c r="CT20" i="1"/>
  <c r="CW20" i="1" s="1"/>
  <c r="CY20" i="1" s="1"/>
  <c r="CS20" i="1"/>
  <c r="CU19" i="1"/>
  <c r="CX19" i="1" s="1"/>
  <c r="CT19" i="1"/>
  <c r="CW19" i="1" s="1"/>
  <c r="CY19" i="1" s="1"/>
  <c r="CS19" i="1"/>
  <c r="CX18" i="1"/>
  <c r="CW18" i="1"/>
  <c r="CY18" i="1" s="1"/>
  <c r="CU18" i="1"/>
  <c r="CT18" i="1"/>
  <c r="CS18" i="1"/>
  <c r="CX17" i="1"/>
  <c r="CW17" i="1"/>
  <c r="CY17" i="1" s="1"/>
  <c r="CU17" i="1"/>
  <c r="CT17" i="1"/>
  <c r="CS17" i="1"/>
  <c r="CX16" i="1"/>
  <c r="CW16" i="1"/>
  <c r="CY16" i="1" s="1"/>
  <c r="CU16" i="1"/>
  <c r="CT16" i="1"/>
  <c r="CS16" i="1"/>
  <c r="CU15" i="1"/>
  <c r="CX15" i="1" s="1"/>
  <c r="CT15" i="1"/>
  <c r="CW15" i="1" s="1"/>
  <c r="CS15" i="1"/>
  <c r="CU14" i="1"/>
  <c r="CX14" i="1" s="1"/>
  <c r="CT14" i="1"/>
  <c r="CW14" i="1" s="1"/>
  <c r="CY14" i="1" s="1"/>
  <c r="CS14" i="1"/>
  <c r="CU13" i="1"/>
  <c r="CX13" i="1" s="1"/>
  <c r="CT13" i="1"/>
  <c r="CW13" i="1" s="1"/>
  <c r="CY13" i="1" s="1"/>
  <c r="CS13" i="1"/>
  <c r="CU12" i="1"/>
  <c r="CX12" i="1" s="1"/>
  <c r="CT12" i="1"/>
  <c r="CW12" i="1" s="1"/>
  <c r="CY12" i="1" s="1"/>
  <c r="CS12" i="1"/>
  <c r="CU11" i="1"/>
  <c r="CX11" i="1" s="1"/>
  <c r="CT11" i="1"/>
  <c r="CW11" i="1" s="1"/>
  <c r="CY11" i="1" s="1"/>
  <c r="CS11" i="1"/>
  <c r="CX10" i="1"/>
  <c r="CW10" i="1"/>
  <c r="CY10" i="1" s="1"/>
  <c r="CU10" i="1"/>
  <c r="CT10" i="1"/>
  <c r="CS10" i="1"/>
  <c r="CX9" i="1"/>
  <c r="CW9" i="1"/>
  <c r="CY9" i="1" s="1"/>
  <c r="CU9" i="1"/>
  <c r="CT9" i="1"/>
  <c r="CS9" i="1"/>
  <c r="CW8" i="1"/>
  <c r="CU8" i="1"/>
  <c r="CX8" i="1" s="1"/>
  <c r="CT8" i="1"/>
  <c r="CS8" i="1"/>
  <c r="CU7" i="1"/>
  <c r="CX7" i="1" s="1"/>
  <c r="CT7" i="1"/>
  <c r="CW7" i="1" s="1"/>
  <c r="CY7" i="1" s="1"/>
  <c r="CS7" i="1"/>
  <c r="CU6" i="1"/>
  <c r="CX6" i="1" s="1"/>
  <c r="CT6" i="1"/>
  <c r="CW6" i="1" s="1"/>
  <c r="CS6" i="1"/>
  <c r="CU5" i="1"/>
  <c r="CX5" i="1" s="1"/>
  <c r="CT5" i="1"/>
  <c r="CW5" i="1" s="1"/>
  <c r="CY5" i="1" s="1"/>
  <c r="CS5" i="1"/>
  <c r="CY8" i="1" l="1"/>
  <c r="CY6" i="1"/>
  <c r="CY24" i="1" s="1"/>
  <c r="CY26" i="1" s="1"/>
  <c r="CY28" i="1" s="1"/>
  <c r="CY30" i="1" s="1"/>
  <c r="CY15" i="1"/>
</calcChain>
</file>

<file path=xl/sharedStrings.xml><?xml version="1.0" encoding="utf-8"?>
<sst xmlns="http://schemas.openxmlformats.org/spreadsheetml/2006/main" count="868" uniqueCount="62">
  <si>
    <t>LABOUR ATTENDANCE   FOR  JAN-2026</t>
  </si>
  <si>
    <t>S. No</t>
  </si>
  <si>
    <t>Name</t>
  </si>
  <si>
    <t>DESIGNATION</t>
  </si>
  <si>
    <t>4 SUNDAY</t>
  </si>
  <si>
    <t>11 SUNDAY</t>
  </si>
  <si>
    <t>16 SUNDAY</t>
  </si>
  <si>
    <t>18 SUNDAY</t>
  </si>
  <si>
    <t>25 SUNDAY</t>
  </si>
  <si>
    <t>JAN  MONTH LABOUR ATTENDANCE &amp; PAYEMNT</t>
  </si>
  <si>
    <t>OT</t>
  </si>
  <si>
    <t>Pr</t>
  </si>
  <si>
    <t>Half day working</t>
  </si>
  <si>
    <t>TOTAL PRESENT</t>
  </si>
  <si>
    <t>SALARY</t>
  </si>
  <si>
    <t>TOTAL SALARY</t>
  </si>
  <si>
    <t>OT SALARY</t>
  </si>
  <si>
    <t>RAJEEB</t>
  </si>
  <si>
    <t>RAJEEV KUMAR</t>
  </si>
  <si>
    <t>FITTER</t>
  </si>
  <si>
    <t>P</t>
  </si>
  <si>
    <t>RCH CB</t>
  </si>
  <si>
    <t>RCH</t>
  </si>
  <si>
    <t>svem</t>
  </si>
  <si>
    <t>A</t>
  </si>
  <si>
    <t>Factory</t>
  </si>
  <si>
    <t>sri Ram</t>
  </si>
  <si>
    <t>SURENDHAR CHOUDRY</t>
  </si>
  <si>
    <t>WELDER</t>
  </si>
  <si>
    <t>Mandabam</t>
  </si>
  <si>
    <t>FACTORY</t>
  </si>
  <si>
    <t>Palson</t>
  </si>
  <si>
    <t>palson</t>
  </si>
  <si>
    <t>p</t>
  </si>
  <si>
    <t>DILIP</t>
  </si>
  <si>
    <t>HELPER</t>
  </si>
  <si>
    <t>RAMBALAK</t>
  </si>
  <si>
    <t>SVEM</t>
  </si>
  <si>
    <t>GORELAL</t>
  </si>
  <si>
    <t>GURUDEV</t>
  </si>
  <si>
    <t>RIGGER</t>
  </si>
  <si>
    <t>Svem</t>
  </si>
  <si>
    <t xml:space="preserve">NITHISH </t>
  </si>
  <si>
    <t>KUNDAN</t>
  </si>
  <si>
    <t>HIMANSHU (R)</t>
  </si>
  <si>
    <t>SURAJ RAM</t>
  </si>
  <si>
    <t>SEMOZHI</t>
  </si>
  <si>
    <t xml:space="preserve">SURAJ </t>
  </si>
  <si>
    <t>HIMANSHU GUPTA</t>
  </si>
  <si>
    <t>RAVI</t>
  </si>
  <si>
    <t>DHILIP</t>
  </si>
  <si>
    <t>H</t>
  </si>
  <si>
    <t>MANUKUMAR</t>
  </si>
  <si>
    <t>NITHISH KUMAR</t>
  </si>
  <si>
    <t>MANISH</t>
  </si>
  <si>
    <t>GAURAV</t>
  </si>
  <si>
    <t>TOTAL SALARY FOR DEC</t>
  </si>
  <si>
    <t>BALANCE</t>
  </si>
  <si>
    <t>TOTAL</t>
  </si>
  <si>
    <t>DEC ADVANCE</t>
  </si>
  <si>
    <t>14.01.26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</si>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</sst>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[$₹-4009]\ * #,##0.00_ ;_ [$₹-4009]\ * \-#,##0.00_ ;_ [$₹-4009]\ * &quot;-&quot;??_ ;_ @_ "/>
    <numFmt numFmtId="165" formatCode="[$-409]dd\-mmm\-yy;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B050"/>
      <name val="Arial"/>
      <family val="2"/>
    </font>
    <font>
      <sz val="9"/>
      <color rgb="FF00B050"/>
      <name val="Arial"/>
      <family val="2"/>
    </font>
    <font>
      <b/>
      <sz val="9"/>
      <color rgb="FFC00000"/>
      <name val="Arial"/>
      <family val="2"/>
    </font>
    <font>
      <b/>
      <sz val="11"/>
      <name val="Calibri"/>
      <family val="2"/>
    </font>
    <font>
      <b/>
      <sz val="9"/>
      <color rgb="FF00206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/>
      <sz val="9"/>
      <color rgb="FF7030A0"/>
      <name val="Arial"/>
      <family val="2"/>
    </font>
    <font>
      <sz val="9"/>
      <color rgb="FF7030A0"/>
      <name val="Arial"/>
      <family val="2"/>
    </font>
    <font>
      <b/>
      <sz val="9"/>
      <color rgb="FFFF0000"/>
      <name val="Arial"/>
      <family val="2"/>
    </font>
    <font>
      <sz val="10"/>
      <name val="Trebuchet MS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3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/>
    </xf>
    <xf numFmtId="0" fontId="12" fillId="5" borderId="4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1" fillId="5" borderId="12" xfId="0" applyFont="1" applyFill="1" applyBorder="1" applyAlignment="1">
      <alignment horizontal="left" vertical="center"/>
    </xf>
    <xf numFmtId="0" fontId="14" fillId="5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left" vertical="center"/>
    </xf>
    <xf numFmtId="0" fontId="6" fillId="6" borderId="4" xfId="0" applyFont="1" applyFill="1" applyBorder="1"/>
    <xf numFmtId="0" fontId="6" fillId="7" borderId="4" xfId="0" applyFont="1" applyFill="1" applyBorder="1"/>
    <xf numFmtId="0" fontId="6" fillId="8" borderId="4" xfId="0" applyFont="1" applyFill="1" applyBorder="1"/>
    <xf numFmtId="0" fontId="6" fillId="0" borderId="4" xfId="0" applyFont="1" applyBorder="1"/>
    <xf numFmtId="0" fontId="6" fillId="9" borderId="4" xfId="0" applyFont="1" applyFill="1" applyBorder="1"/>
    <xf numFmtId="0" fontId="4" fillId="0" borderId="0" xfId="0" applyFont="1" applyAlignment="1">
      <alignment horizontal="right"/>
    </xf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top"/>
    </xf>
    <xf numFmtId="0" fontId="18" fillId="0" borderId="4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vertical="center"/>
    </xf>
    <xf numFmtId="0" fontId="7" fillId="2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9" fillId="9" borderId="11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/>
    </xf>
    <xf numFmtId="0" fontId="20" fillId="5" borderId="4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/>
    </xf>
    <xf numFmtId="0" fontId="21" fillId="5" borderId="4" xfId="0" applyFont="1" applyFill="1" applyBorder="1" applyAlignment="1">
      <alignment horizontal="center"/>
    </xf>
    <xf numFmtId="0" fontId="21" fillId="5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/>
    </xf>
    <xf numFmtId="0" fontId="23" fillId="2" borderId="4" xfId="0" applyFont="1" applyFill="1" applyBorder="1" applyAlignment="1">
      <alignment horizontal="center"/>
    </xf>
    <xf numFmtId="0" fontId="23" fillId="10" borderId="4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left" vertical="center"/>
    </xf>
    <xf numFmtId="0" fontId="23" fillId="11" borderId="4" xfId="0" applyFont="1" applyFill="1" applyBorder="1" applyAlignment="1">
      <alignment horizontal="center"/>
    </xf>
    <xf numFmtId="0" fontId="23" fillId="11" borderId="9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4" fontId="5" fillId="0" borderId="9" xfId="0" applyNumberFormat="1" applyFont="1" applyBorder="1" applyAlignment="1">
      <alignment horizontal="center" vertical="center"/>
    </xf>
    <xf numFmtId="4" fontId="5" fillId="0" borderId="0" xfId="0" applyNumberFormat="1" applyFont="1" applyAlignment="1">
      <alignment horizontal="left" vertical="center"/>
    </xf>
    <xf numFmtId="0" fontId="17" fillId="12" borderId="4" xfId="0" applyFont="1" applyFill="1" applyBorder="1" applyAlignment="1">
      <alignment horizontal="center" vertical="center"/>
    </xf>
    <xf numFmtId="0" fontId="17" fillId="12" borderId="4" xfId="0" applyFont="1" applyFill="1" applyBorder="1" applyAlignment="1">
      <alignment horizontal="left" vertical="center"/>
    </xf>
    <xf numFmtId="164" fontId="17" fillId="12" borderId="4" xfId="1" applyNumberFormat="1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/>
    </xf>
    <xf numFmtId="0" fontId="25" fillId="9" borderId="4" xfId="0" applyFont="1" applyFill="1" applyBorder="1"/>
    <xf numFmtId="4" fontId="25" fillId="9" borderId="4" xfId="0" applyNumberFormat="1" applyFont="1" applyFill="1" applyBorder="1"/>
    <xf numFmtId="4" fontId="25" fillId="9" borderId="4" xfId="0" applyNumberFormat="1" applyFont="1" applyFill="1" applyBorder="1" applyAlignment="1">
      <alignment horizontal="right"/>
    </xf>
    <xf numFmtId="2" fontId="25" fillId="9" borderId="4" xfId="0" applyNumberFormat="1" applyFont="1" applyFill="1" applyBorder="1" applyAlignment="1">
      <alignment horizontal="right"/>
    </xf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17" fillId="12" borderId="4" xfId="0" applyFont="1" applyFill="1" applyBorder="1" applyAlignment="1">
      <alignment vertical="center"/>
    </xf>
    <xf numFmtId="165" fontId="8" fillId="9" borderId="4" xfId="0" applyNumberFormat="1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6" fillId="4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3B5E-2EFD-478A-912E-6CB1000A64A0}">
  <dimension ref="A1:DA68"/>
  <sheetViews>
    <sheetView tabSelected="1" topLeftCell="X1" workbookViewId="0">
      <selection activeCell="O28" sqref="O28"/>
    </sheetView>
  </sheetViews>
  <sheetFormatPr defaultRowHeight="15" x14ac:dyDescent="0.25"/>
  <cols>
    <col min="1" max="1" width="5.140625" bestFit="1" customWidth="1"/>
    <col min="2" max="2" width="19" bestFit="1" customWidth="1"/>
    <col min="3" max="3" width="12" bestFit="1" customWidth="1"/>
    <col min="4" max="4" width="2" bestFit="1" customWidth="1"/>
    <col min="5" max="5" width="3.28515625" bestFit="1" customWidth="1"/>
    <col min="6" max="6" width="7.85546875" bestFit="1" customWidth="1"/>
    <col min="7" max="7" width="2" bestFit="1" customWidth="1"/>
    <col min="8" max="8" width="3.28515625" bestFit="1" customWidth="1"/>
    <col min="9" max="9" width="9.85546875" bestFit="1" customWidth="1"/>
    <col min="10" max="10" width="2" bestFit="1" customWidth="1"/>
    <col min="11" max="11" width="3.28515625" bestFit="1" customWidth="1"/>
    <col min="12" max="12" width="9.85546875" bestFit="1" customWidth="1"/>
    <col min="13" max="13" width="1.85546875" bestFit="1" customWidth="1"/>
    <col min="14" max="14" width="3.28515625" bestFit="1" customWidth="1"/>
    <col min="15" max="15" width="7.5703125" bestFit="1" customWidth="1"/>
    <col min="16" max="16" width="2" bestFit="1" customWidth="1"/>
    <col min="17" max="17" width="3.28515625" bestFit="1" customWidth="1"/>
    <col min="18" max="18" width="9.85546875" bestFit="1" customWidth="1"/>
    <col min="19" max="19" width="2" bestFit="1" customWidth="1"/>
    <col min="20" max="20" width="3.28515625" bestFit="1" customWidth="1"/>
    <col min="21" max="21" width="9.85546875" bestFit="1" customWidth="1"/>
    <col min="22" max="22" width="2" bestFit="1" customWidth="1"/>
    <col min="23" max="23" width="3.28515625" bestFit="1" customWidth="1"/>
    <col min="24" max="24" width="6.85546875" bestFit="1" customWidth="1"/>
    <col min="25" max="25" width="2" bestFit="1" customWidth="1"/>
    <col min="26" max="26" width="3.28515625" bestFit="1" customWidth="1"/>
    <col min="27" max="27" width="6.85546875" bestFit="1" customWidth="1"/>
    <col min="28" max="28" width="2" bestFit="1" customWidth="1"/>
    <col min="29" max="29" width="3.28515625" bestFit="1" customWidth="1"/>
    <col min="30" max="30" width="6.42578125" bestFit="1" customWidth="1"/>
    <col min="31" max="31" width="2" bestFit="1" customWidth="1"/>
    <col min="32" max="32" width="3.28515625" bestFit="1" customWidth="1"/>
    <col min="33" max="33" width="6.42578125" bestFit="1" customWidth="1"/>
    <col min="34" max="34" width="2" bestFit="1" customWidth="1"/>
    <col min="35" max="35" width="3.28515625" bestFit="1" customWidth="1"/>
    <col min="36" max="36" width="6.42578125" bestFit="1" customWidth="1"/>
    <col min="37" max="37" width="2" bestFit="1" customWidth="1"/>
    <col min="38" max="38" width="3.28515625" bestFit="1" customWidth="1"/>
    <col min="39" max="39" width="6.42578125" bestFit="1" customWidth="1"/>
    <col min="40" max="40" width="2" bestFit="1" customWidth="1"/>
    <col min="41" max="41" width="3.28515625" bestFit="1" customWidth="1"/>
    <col min="42" max="42" width="6.42578125" bestFit="1" customWidth="1"/>
    <col min="43" max="43" width="2" bestFit="1" customWidth="1"/>
    <col min="44" max="44" width="3.28515625" bestFit="1" customWidth="1"/>
    <col min="45" max="45" width="2.85546875" bestFit="1" customWidth="1"/>
    <col min="46" max="46" width="2" bestFit="1" customWidth="1"/>
    <col min="47" max="47" width="3.28515625" bestFit="1" customWidth="1"/>
    <col min="48" max="48" width="6.42578125" bestFit="1" customWidth="1"/>
    <col min="49" max="49" width="2" bestFit="1" customWidth="1"/>
    <col min="50" max="50" width="3.28515625" bestFit="1" customWidth="1"/>
    <col min="51" max="51" width="6.42578125" bestFit="1" customWidth="1"/>
    <col min="52" max="52" width="2" bestFit="1" customWidth="1"/>
    <col min="53" max="53" width="3.28515625" bestFit="1" customWidth="1"/>
    <col min="54" max="54" width="2.85546875" bestFit="1" customWidth="1"/>
    <col min="55" max="55" width="2" bestFit="1" customWidth="1"/>
    <col min="56" max="56" width="3.28515625" bestFit="1" customWidth="1"/>
    <col min="57" max="57" width="2.85546875" bestFit="1" customWidth="1"/>
    <col min="58" max="58" width="2" bestFit="1" customWidth="1"/>
    <col min="59" max="59" width="3.28515625" bestFit="1" customWidth="1"/>
    <col min="60" max="60" width="6.28515625" bestFit="1" customWidth="1"/>
    <col min="61" max="61" width="2.140625" bestFit="1" customWidth="1"/>
    <col min="62" max="62" width="3.28515625" bestFit="1" customWidth="1"/>
    <col min="63" max="63" width="6.28515625" bestFit="1" customWidth="1"/>
    <col min="64" max="64" width="2" bestFit="1" customWidth="1"/>
    <col min="65" max="65" width="3.28515625" bestFit="1" customWidth="1"/>
    <col min="66" max="66" width="2.85546875" bestFit="1" customWidth="1"/>
    <col min="67" max="67" width="2" bestFit="1" customWidth="1"/>
    <col min="68" max="68" width="3.28515625" bestFit="1" customWidth="1"/>
    <col min="69" max="69" width="6.28515625" bestFit="1" customWidth="1"/>
    <col min="70" max="70" width="2" bestFit="1" customWidth="1"/>
    <col min="71" max="71" width="3.28515625" bestFit="1" customWidth="1"/>
    <col min="72" max="72" width="6.42578125" bestFit="1" customWidth="1"/>
    <col min="73" max="73" width="2.140625" bestFit="1" customWidth="1"/>
    <col min="74" max="74" width="3.28515625" bestFit="1" customWidth="1"/>
    <col min="75" max="75" width="6.42578125" bestFit="1" customWidth="1"/>
    <col min="76" max="76" width="2" bestFit="1" customWidth="1"/>
    <col min="77" max="77" width="3.28515625" bestFit="1" customWidth="1"/>
    <col min="78" max="78" width="6.42578125" bestFit="1" customWidth="1"/>
    <col min="79" max="79" width="2" bestFit="1" customWidth="1"/>
    <col min="80" max="80" width="3.28515625" bestFit="1" customWidth="1"/>
    <col min="81" max="81" width="2.85546875" bestFit="1" customWidth="1"/>
    <col min="82" max="82" width="7.28515625" customWidth="1"/>
    <col min="83" max="83" width="3.28515625" bestFit="1" customWidth="1"/>
    <col min="84" max="84" width="2.85546875" bestFit="1" customWidth="1"/>
    <col min="85" max="85" width="7.28515625" customWidth="1"/>
    <col min="86" max="86" width="3.28515625" bestFit="1" customWidth="1"/>
    <col min="87" max="87" width="2.85546875" bestFit="1" customWidth="1"/>
    <col min="88" max="88" width="7.28515625" customWidth="1"/>
    <col min="89" max="89" width="3.28515625" bestFit="1" customWidth="1"/>
    <col min="90" max="90" width="2.85546875" bestFit="1" customWidth="1"/>
    <col min="91" max="91" width="7.28515625" customWidth="1"/>
    <col min="92" max="92" width="3.28515625" bestFit="1" customWidth="1"/>
    <col min="93" max="93" width="2.85546875" bestFit="1" customWidth="1"/>
    <col min="94" max="94" width="7.28515625" customWidth="1"/>
    <col min="95" max="95" width="3.28515625" bestFit="1" customWidth="1"/>
    <col min="96" max="96" width="2.85546875" bestFit="1" customWidth="1"/>
    <col min="97" max="97" width="14" bestFit="1" customWidth="1"/>
    <col min="98" max="98" width="9.140625" bestFit="1" customWidth="1"/>
    <col min="99" max="99" width="3.28515625" bestFit="1" customWidth="1"/>
    <col min="100" max="100" width="7.42578125" bestFit="1" customWidth="1"/>
    <col min="101" max="101" width="7.28515625" bestFit="1" customWidth="1"/>
    <col min="102" max="102" width="10.140625" bestFit="1" customWidth="1"/>
    <col min="103" max="103" width="10" bestFit="1" customWidth="1"/>
    <col min="104" max="104" width="7.5703125" bestFit="1" customWidth="1"/>
  </cols>
  <sheetData>
    <row r="1" spans="1:105" ht="15.75" x14ac:dyDescent="0.25">
      <c r="A1" s="105" t="s">
        <v>0</v>
      </c>
      <c r="B1" s="105"/>
      <c r="C1" s="105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3"/>
      <c r="P1" s="2"/>
      <c r="Q1" s="2"/>
      <c r="R1" s="3"/>
      <c r="S1" s="3"/>
      <c r="T1" s="3"/>
      <c r="U1" s="2"/>
      <c r="V1" s="2"/>
      <c r="W1" s="2"/>
      <c r="X1" s="2"/>
      <c r="Y1" s="2"/>
      <c r="Z1" s="2"/>
      <c r="AA1" s="2"/>
      <c r="AB1" s="2"/>
      <c r="AC1" s="3"/>
      <c r="AD1" s="2"/>
      <c r="AE1" s="2"/>
      <c r="AF1" s="2"/>
      <c r="AG1" s="2"/>
      <c r="AH1" s="2"/>
      <c r="AI1" s="2"/>
      <c r="AJ1" s="3"/>
      <c r="AK1" s="2"/>
      <c r="AL1" s="2"/>
      <c r="AM1" s="3"/>
      <c r="AN1" s="3"/>
      <c r="AO1" s="2"/>
      <c r="AP1" s="3"/>
      <c r="AQ1" s="2"/>
      <c r="AR1" s="2"/>
      <c r="AS1" s="3"/>
      <c r="AT1" s="2"/>
      <c r="AU1" s="2"/>
      <c r="AV1" s="3"/>
      <c r="AW1" s="3"/>
      <c r="AX1" s="2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2"/>
      <c r="BX1" s="3"/>
      <c r="BY1" s="3"/>
      <c r="BZ1" s="3"/>
      <c r="CA1" s="3"/>
      <c r="CB1" s="3"/>
      <c r="CC1" s="3"/>
      <c r="CD1" s="3"/>
      <c r="CE1" s="3"/>
      <c r="CF1" s="3"/>
      <c r="CG1" s="3"/>
      <c r="CH1" s="2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2"/>
      <c r="CU1" s="2"/>
      <c r="CV1" s="2"/>
      <c r="CW1" s="2"/>
      <c r="CX1" s="4"/>
      <c r="CY1" s="4"/>
      <c r="CZ1" s="2"/>
      <c r="DA1" s="5"/>
    </row>
    <row r="2" spans="1:105" ht="15" customHeight="1" thickBot="1" x14ac:dyDescent="0.3">
      <c r="A2" s="106"/>
      <c r="B2" s="106"/>
      <c r="C2" s="106"/>
      <c r="D2" s="6"/>
      <c r="E2" s="7"/>
      <c r="F2" s="7"/>
      <c r="G2" s="7"/>
      <c r="H2" s="8"/>
      <c r="I2" s="7"/>
      <c r="J2" s="7"/>
      <c r="K2" s="7"/>
      <c r="L2" s="7"/>
      <c r="M2" s="7"/>
      <c r="N2" s="7"/>
      <c r="O2" s="8"/>
      <c r="P2" s="7"/>
      <c r="Q2" s="7"/>
      <c r="R2" s="8"/>
      <c r="S2" s="8"/>
      <c r="T2" s="8"/>
      <c r="U2" s="7"/>
      <c r="V2" s="7"/>
      <c r="W2" s="7"/>
      <c r="X2" s="7"/>
      <c r="Y2" s="7"/>
      <c r="Z2" s="7"/>
      <c r="AA2" s="7"/>
      <c r="AB2" s="7"/>
      <c r="AC2" s="8"/>
      <c r="AD2" s="7"/>
      <c r="AE2" s="7"/>
      <c r="AF2" s="7"/>
      <c r="AG2" s="7"/>
      <c r="AH2" s="7"/>
      <c r="AI2" s="7"/>
      <c r="AJ2" s="8"/>
      <c r="AK2" s="7"/>
      <c r="AL2" s="7"/>
      <c r="AM2" s="8"/>
      <c r="AN2" s="8"/>
      <c r="AO2" s="7"/>
      <c r="AP2" s="8"/>
      <c r="AQ2" s="7"/>
      <c r="AR2" s="7"/>
      <c r="AS2" s="8"/>
      <c r="AT2" s="7"/>
      <c r="AU2" s="7"/>
      <c r="AV2" s="8"/>
      <c r="AW2" s="8"/>
      <c r="AX2" s="7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7"/>
      <c r="BX2" s="8"/>
      <c r="BY2" s="8"/>
      <c r="BZ2" s="8"/>
      <c r="CA2" s="8"/>
      <c r="CB2" s="8"/>
      <c r="CC2" s="8"/>
      <c r="CD2" s="8"/>
      <c r="CE2" s="8"/>
      <c r="CF2" s="8"/>
      <c r="CG2" s="8"/>
      <c r="CH2" s="7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7"/>
      <c r="CU2" s="7"/>
      <c r="CV2" s="7"/>
      <c r="CW2" s="7"/>
      <c r="CX2" s="9"/>
      <c r="CY2" s="9"/>
      <c r="CZ2" s="7"/>
      <c r="DA2" s="10"/>
    </row>
    <row r="3" spans="1:105" ht="25.15" customHeight="1" x14ac:dyDescent="0.25">
      <c r="A3" s="107" t="s">
        <v>1</v>
      </c>
      <c r="B3" s="109" t="s">
        <v>2</v>
      </c>
      <c r="C3" s="109" t="s">
        <v>3</v>
      </c>
      <c r="D3" s="94">
        <v>1</v>
      </c>
      <c r="E3" s="94"/>
      <c r="F3" s="94"/>
      <c r="G3" s="94">
        <v>2</v>
      </c>
      <c r="H3" s="94"/>
      <c r="I3" s="94"/>
      <c r="J3" s="94">
        <v>3</v>
      </c>
      <c r="K3" s="94"/>
      <c r="L3" s="94"/>
      <c r="M3" s="96" t="s">
        <v>4</v>
      </c>
      <c r="N3" s="96"/>
      <c r="O3" s="96"/>
      <c r="P3" s="94">
        <v>5</v>
      </c>
      <c r="Q3" s="94"/>
      <c r="R3" s="94"/>
      <c r="S3" s="94">
        <v>6</v>
      </c>
      <c r="T3" s="94"/>
      <c r="U3" s="94"/>
      <c r="V3" s="94">
        <v>7</v>
      </c>
      <c r="W3" s="94"/>
      <c r="X3" s="94"/>
      <c r="Y3" s="94">
        <v>8</v>
      </c>
      <c r="Z3" s="94"/>
      <c r="AA3" s="94"/>
      <c r="AB3" s="94">
        <v>9</v>
      </c>
      <c r="AC3" s="94"/>
      <c r="AD3" s="94"/>
      <c r="AE3" s="94">
        <v>10</v>
      </c>
      <c r="AF3" s="94"/>
      <c r="AG3" s="94"/>
      <c r="AH3" s="96" t="s">
        <v>5</v>
      </c>
      <c r="AI3" s="96"/>
      <c r="AJ3" s="96"/>
      <c r="AK3" s="94">
        <v>12</v>
      </c>
      <c r="AL3" s="94"/>
      <c r="AM3" s="94"/>
      <c r="AN3" s="97">
        <v>13</v>
      </c>
      <c r="AO3" s="98"/>
      <c r="AP3" s="99"/>
      <c r="AQ3" s="94">
        <v>14</v>
      </c>
      <c r="AR3" s="94"/>
      <c r="AS3" s="94"/>
      <c r="AT3" s="94">
        <v>15</v>
      </c>
      <c r="AU3" s="94"/>
      <c r="AV3" s="94"/>
      <c r="AW3" s="94" t="s">
        <v>6</v>
      </c>
      <c r="AX3" s="94"/>
      <c r="AY3" s="94"/>
      <c r="AZ3" s="94">
        <v>17</v>
      </c>
      <c r="BA3" s="94"/>
      <c r="BB3" s="94"/>
      <c r="BC3" s="96" t="s">
        <v>7</v>
      </c>
      <c r="BD3" s="96"/>
      <c r="BE3" s="96"/>
      <c r="BF3" s="94">
        <v>19</v>
      </c>
      <c r="BG3" s="94"/>
      <c r="BH3" s="94"/>
      <c r="BI3" s="94">
        <v>20</v>
      </c>
      <c r="BJ3" s="94"/>
      <c r="BK3" s="94"/>
      <c r="BL3" s="94">
        <v>21</v>
      </c>
      <c r="BM3" s="94"/>
      <c r="BN3" s="94"/>
      <c r="BO3" s="94">
        <v>22</v>
      </c>
      <c r="BP3" s="94"/>
      <c r="BQ3" s="94"/>
      <c r="BR3" s="97">
        <v>23</v>
      </c>
      <c r="BS3" s="98"/>
      <c r="BT3" s="99"/>
      <c r="BU3" s="97">
        <v>24</v>
      </c>
      <c r="BV3" s="98"/>
      <c r="BW3" s="99"/>
      <c r="BX3" s="96" t="s">
        <v>8</v>
      </c>
      <c r="BY3" s="96"/>
      <c r="BZ3" s="96"/>
      <c r="CA3" s="94">
        <v>26</v>
      </c>
      <c r="CB3" s="94"/>
      <c r="CC3" s="94"/>
      <c r="CD3" s="94">
        <v>27</v>
      </c>
      <c r="CE3" s="94"/>
      <c r="CF3" s="94"/>
      <c r="CG3" s="94">
        <v>28</v>
      </c>
      <c r="CH3" s="94"/>
      <c r="CI3" s="94"/>
      <c r="CJ3" s="94">
        <v>29</v>
      </c>
      <c r="CK3" s="94"/>
      <c r="CL3" s="94"/>
      <c r="CM3" s="94">
        <v>30</v>
      </c>
      <c r="CN3" s="94"/>
      <c r="CO3" s="94"/>
      <c r="CP3" s="94">
        <v>31</v>
      </c>
      <c r="CQ3" s="94"/>
      <c r="CR3" s="94"/>
      <c r="CS3" s="95" t="s">
        <v>9</v>
      </c>
      <c r="CT3" s="95"/>
      <c r="CU3" s="95"/>
      <c r="CV3" s="95"/>
      <c r="CW3" s="95"/>
      <c r="CX3" s="95"/>
      <c r="CY3" s="95"/>
      <c r="CZ3" s="12"/>
      <c r="DA3" s="13"/>
    </row>
    <row r="4" spans="1:105" ht="24" x14ac:dyDescent="0.25">
      <c r="A4" s="108"/>
      <c r="B4" s="110"/>
      <c r="C4" s="110"/>
      <c r="D4" s="11"/>
      <c r="E4" s="14" t="s">
        <v>10</v>
      </c>
      <c r="F4" s="11" t="s">
        <v>11</v>
      </c>
      <c r="G4" s="11"/>
      <c r="H4" s="14" t="s">
        <v>10</v>
      </c>
      <c r="I4" s="11" t="s">
        <v>11</v>
      </c>
      <c r="J4" s="11"/>
      <c r="K4" s="11" t="s">
        <v>10</v>
      </c>
      <c r="L4" s="11" t="s">
        <v>11</v>
      </c>
      <c r="M4" s="11"/>
      <c r="N4" s="11" t="s">
        <v>10</v>
      </c>
      <c r="O4" s="11" t="s">
        <v>11</v>
      </c>
      <c r="P4" s="11"/>
      <c r="Q4" s="11" t="s">
        <v>10</v>
      </c>
      <c r="R4" s="11" t="s">
        <v>11</v>
      </c>
      <c r="S4" s="11"/>
      <c r="T4" s="14" t="s">
        <v>10</v>
      </c>
      <c r="U4" s="11" t="s">
        <v>11</v>
      </c>
      <c r="V4" s="11"/>
      <c r="W4" s="14" t="s">
        <v>10</v>
      </c>
      <c r="X4" s="11" t="s">
        <v>11</v>
      </c>
      <c r="Y4" s="11"/>
      <c r="Z4" s="11" t="s">
        <v>10</v>
      </c>
      <c r="AA4" s="11" t="s">
        <v>11</v>
      </c>
      <c r="AB4" s="11"/>
      <c r="AC4" s="14" t="s">
        <v>10</v>
      </c>
      <c r="AD4" s="11" t="s">
        <v>11</v>
      </c>
      <c r="AE4" s="11"/>
      <c r="AF4" s="14" t="s">
        <v>10</v>
      </c>
      <c r="AG4" s="11" t="s">
        <v>11</v>
      </c>
      <c r="AH4" s="11"/>
      <c r="AI4" s="11" t="s">
        <v>10</v>
      </c>
      <c r="AJ4" s="11" t="s">
        <v>11</v>
      </c>
      <c r="AK4" s="11"/>
      <c r="AL4" s="11" t="s">
        <v>10</v>
      </c>
      <c r="AM4" s="11" t="s">
        <v>11</v>
      </c>
      <c r="AN4" s="11"/>
      <c r="AO4" s="11" t="s">
        <v>10</v>
      </c>
      <c r="AP4" s="11" t="s">
        <v>11</v>
      </c>
      <c r="AQ4" s="11"/>
      <c r="AR4" s="11" t="s">
        <v>10</v>
      </c>
      <c r="AS4" s="11" t="s">
        <v>11</v>
      </c>
      <c r="AT4" s="11"/>
      <c r="AU4" s="11" t="s">
        <v>10</v>
      </c>
      <c r="AV4" s="11" t="s">
        <v>11</v>
      </c>
      <c r="AW4" s="11"/>
      <c r="AX4" s="11" t="s">
        <v>10</v>
      </c>
      <c r="AY4" s="11" t="s">
        <v>11</v>
      </c>
      <c r="AZ4" s="11"/>
      <c r="BA4" s="14" t="s">
        <v>10</v>
      </c>
      <c r="BB4" s="11" t="s">
        <v>11</v>
      </c>
      <c r="BC4" s="11"/>
      <c r="BD4" s="14" t="s">
        <v>10</v>
      </c>
      <c r="BE4" s="11" t="s">
        <v>11</v>
      </c>
      <c r="BF4" s="11"/>
      <c r="BG4" s="14" t="s">
        <v>10</v>
      </c>
      <c r="BH4" s="11" t="s">
        <v>11</v>
      </c>
      <c r="BI4" s="11"/>
      <c r="BJ4" s="11" t="s">
        <v>10</v>
      </c>
      <c r="BK4" s="11" t="s">
        <v>11</v>
      </c>
      <c r="BL4" s="11"/>
      <c r="BM4" s="14" t="s">
        <v>10</v>
      </c>
      <c r="BN4" s="11" t="s">
        <v>11</v>
      </c>
      <c r="BO4" s="11"/>
      <c r="BP4" s="14" t="s">
        <v>10</v>
      </c>
      <c r="BQ4" s="11" t="s">
        <v>11</v>
      </c>
      <c r="BR4" s="11"/>
      <c r="BS4" s="11" t="s">
        <v>10</v>
      </c>
      <c r="BT4" s="11" t="s">
        <v>11</v>
      </c>
      <c r="BU4" s="11"/>
      <c r="BV4" s="14" t="s">
        <v>10</v>
      </c>
      <c r="BW4" s="11" t="s">
        <v>11</v>
      </c>
      <c r="BX4" s="11"/>
      <c r="BY4" s="14" t="s">
        <v>10</v>
      </c>
      <c r="BZ4" s="11" t="s">
        <v>11</v>
      </c>
      <c r="CA4" s="11"/>
      <c r="CB4" s="14" t="s">
        <v>10</v>
      </c>
      <c r="CC4" s="11" t="s">
        <v>11</v>
      </c>
      <c r="CD4" s="11"/>
      <c r="CE4" s="11" t="s">
        <v>10</v>
      </c>
      <c r="CF4" s="11" t="s">
        <v>11</v>
      </c>
      <c r="CG4" s="11"/>
      <c r="CH4" s="11" t="s">
        <v>10</v>
      </c>
      <c r="CI4" s="11" t="s">
        <v>11</v>
      </c>
      <c r="CJ4" s="11"/>
      <c r="CK4" s="11" t="s">
        <v>10</v>
      </c>
      <c r="CL4" s="11" t="s">
        <v>11</v>
      </c>
      <c r="CM4" s="11"/>
      <c r="CN4" s="11" t="s">
        <v>10</v>
      </c>
      <c r="CO4" s="11" t="s">
        <v>11</v>
      </c>
      <c r="CP4" s="11"/>
      <c r="CQ4" s="11" t="s">
        <v>10</v>
      </c>
      <c r="CR4" s="11" t="s">
        <v>11</v>
      </c>
      <c r="CS4" s="15" t="s">
        <v>12</v>
      </c>
      <c r="CT4" s="16" t="s">
        <v>13</v>
      </c>
      <c r="CU4" s="16" t="s">
        <v>10</v>
      </c>
      <c r="CV4" s="16" t="s">
        <v>14</v>
      </c>
      <c r="CW4" s="17" t="s">
        <v>15</v>
      </c>
      <c r="CX4" s="15" t="s">
        <v>16</v>
      </c>
      <c r="CY4" s="18" t="s">
        <v>15</v>
      </c>
      <c r="CZ4" s="12" t="s">
        <v>17</v>
      </c>
      <c r="DA4" s="13"/>
    </row>
    <row r="5" spans="1:105" ht="29.45" customHeight="1" thickBot="1" x14ac:dyDescent="0.3">
      <c r="A5" s="19">
        <v>1</v>
      </c>
      <c r="B5" s="20" t="s">
        <v>18</v>
      </c>
      <c r="C5" s="21" t="s">
        <v>19</v>
      </c>
      <c r="D5" s="22" t="s">
        <v>20</v>
      </c>
      <c r="E5" s="22">
        <v>1</v>
      </c>
      <c r="F5" s="22" t="s">
        <v>21</v>
      </c>
      <c r="G5" s="22" t="s">
        <v>20</v>
      </c>
      <c r="H5" s="22">
        <v>2</v>
      </c>
      <c r="I5" s="22" t="s">
        <v>21</v>
      </c>
      <c r="J5" s="22" t="s">
        <v>20</v>
      </c>
      <c r="K5" s="22">
        <v>2</v>
      </c>
      <c r="L5" s="22" t="s">
        <v>22</v>
      </c>
      <c r="M5" s="22" t="s">
        <v>20</v>
      </c>
      <c r="N5" s="23">
        <v>4</v>
      </c>
      <c r="O5" s="22" t="s">
        <v>23</v>
      </c>
      <c r="P5" s="24" t="s">
        <v>24</v>
      </c>
      <c r="Q5" s="23"/>
      <c r="R5" s="22"/>
      <c r="S5" s="23" t="s">
        <v>20</v>
      </c>
      <c r="T5" s="23"/>
      <c r="U5" s="22" t="s">
        <v>25</v>
      </c>
      <c r="V5" s="23" t="s">
        <v>20</v>
      </c>
      <c r="W5" s="23">
        <v>2</v>
      </c>
      <c r="X5" s="22" t="s">
        <v>26</v>
      </c>
      <c r="Y5" s="23" t="s">
        <v>20</v>
      </c>
      <c r="Z5" s="23">
        <v>2</v>
      </c>
      <c r="AA5" s="22" t="s">
        <v>26</v>
      </c>
      <c r="AB5" s="23" t="s">
        <v>20</v>
      </c>
      <c r="AC5" s="23"/>
      <c r="AD5" s="23" t="s">
        <v>25</v>
      </c>
      <c r="AE5" s="23" t="s">
        <v>20</v>
      </c>
      <c r="AF5" s="23">
        <v>1</v>
      </c>
      <c r="AG5" s="22" t="s">
        <v>25</v>
      </c>
      <c r="AH5" s="23" t="s">
        <v>20</v>
      </c>
      <c r="AI5" s="23"/>
      <c r="AJ5" s="23" t="s">
        <v>25</v>
      </c>
      <c r="AK5" s="23" t="s">
        <v>20</v>
      </c>
      <c r="AL5" s="25">
        <v>2</v>
      </c>
      <c r="AM5" s="23" t="s">
        <v>25</v>
      </c>
      <c r="AN5" s="23" t="s">
        <v>20</v>
      </c>
      <c r="AO5" s="23"/>
      <c r="AP5" s="23" t="s">
        <v>25</v>
      </c>
      <c r="AQ5" s="24" t="s">
        <v>24</v>
      </c>
      <c r="AR5" s="22"/>
      <c r="AS5" s="22"/>
      <c r="AT5" s="22" t="s">
        <v>20</v>
      </c>
      <c r="AU5" s="22"/>
      <c r="AV5" s="23" t="s">
        <v>25</v>
      </c>
      <c r="AW5" s="22" t="s">
        <v>20</v>
      </c>
      <c r="AX5" s="22"/>
      <c r="AY5" s="23" t="s">
        <v>25</v>
      </c>
      <c r="AZ5" s="24" t="s">
        <v>24</v>
      </c>
      <c r="BA5" s="23"/>
      <c r="BB5" s="23"/>
      <c r="BC5" s="24" t="s">
        <v>24</v>
      </c>
      <c r="BD5" s="23"/>
      <c r="BE5" s="22"/>
      <c r="BF5" s="24" t="s">
        <v>24</v>
      </c>
      <c r="BG5" s="24"/>
      <c r="BH5" s="24"/>
      <c r="BI5" s="24" t="s">
        <v>24</v>
      </c>
      <c r="BJ5" s="26"/>
      <c r="BK5" s="24"/>
      <c r="BL5" s="24" t="s">
        <v>24</v>
      </c>
      <c r="BM5" s="26"/>
      <c r="BN5" s="25"/>
      <c r="BO5" s="24" t="s">
        <v>24</v>
      </c>
      <c r="BP5" s="23"/>
      <c r="BQ5" s="22"/>
      <c r="BR5" s="24" t="s">
        <v>24</v>
      </c>
      <c r="BS5" s="23"/>
      <c r="BT5" s="22"/>
      <c r="BU5" s="24" t="s">
        <v>24</v>
      </c>
      <c r="BV5" s="26"/>
      <c r="BW5" s="24"/>
      <c r="BX5" s="24" t="s">
        <v>24</v>
      </c>
      <c r="BY5" s="23"/>
      <c r="BZ5" s="23"/>
      <c r="CA5" s="24" t="s">
        <v>24</v>
      </c>
      <c r="CB5" s="23"/>
      <c r="CC5" s="23"/>
      <c r="CD5" s="23"/>
      <c r="CE5" s="22"/>
      <c r="CF5" s="23"/>
      <c r="CG5" s="23"/>
      <c r="CH5" s="23"/>
      <c r="CI5" s="22"/>
      <c r="CJ5" s="23"/>
      <c r="CK5" s="23"/>
      <c r="CL5" s="22"/>
      <c r="CM5" s="23"/>
      <c r="CN5" s="23"/>
      <c r="CO5" s="23"/>
      <c r="CP5" s="23"/>
      <c r="CQ5" s="23"/>
      <c r="CR5" s="23"/>
      <c r="CS5" s="27">
        <f t="shared" ref="CS5:CS19" si="0">COUNTIF(C5:CR5,"h")</f>
        <v>0</v>
      </c>
      <c r="CT5" s="27">
        <f t="shared" ref="CT5:CT19" si="1">COUNTIF(D5:CR5,"P")</f>
        <v>14</v>
      </c>
      <c r="CU5" s="27">
        <f t="shared" ref="CU5:CU19" si="2">SUM(D5:CR5)</f>
        <v>16</v>
      </c>
      <c r="CV5" s="28">
        <v>900</v>
      </c>
      <c r="CW5" s="27">
        <f t="shared" ref="CW5:CW19" si="3">(CT5)*CV5</f>
        <v>12600</v>
      </c>
      <c r="CX5" s="27">
        <f t="shared" ref="CX5:CX19" si="4">(CV5/8*CU5)</f>
        <v>1800</v>
      </c>
      <c r="CY5" s="27">
        <f>CW5+CX5</f>
        <v>14400</v>
      </c>
      <c r="CZ5" s="29"/>
      <c r="DA5" s="10"/>
    </row>
    <row r="6" spans="1:105" ht="29.45" customHeight="1" thickBot="1" x14ac:dyDescent="0.3">
      <c r="A6" s="19">
        <v>2</v>
      </c>
      <c r="B6" s="20" t="s">
        <v>27</v>
      </c>
      <c r="C6" s="30" t="s">
        <v>28</v>
      </c>
      <c r="D6" s="22" t="s">
        <v>20</v>
      </c>
      <c r="E6" s="22">
        <v>1</v>
      </c>
      <c r="F6" s="22" t="s">
        <v>21</v>
      </c>
      <c r="G6" s="22" t="s">
        <v>20</v>
      </c>
      <c r="H6" s="22"/>
      <c r="I6" s="22" t="s">
        <v>29</v>
      </c>
      <c r="J6" s="23" t="s">
        <v>20</v>
      </c>
      <c r="K6" s="23"/>
      <c r="L6" s="23" t="s">
        <v>29</v>
      </c>
      <c r="M6" s="22" t="s">
        <v>20</v>
      </c>
      <c r="N6" s="23"/>
      <c r="O6" s="22" t="s">
        <v>30</v>
      </c>
      <c r="P6" s="23" t="s">
        <v>20</v>
      </c>
      <c r="Q6" s="23"/>
      <c r="R6" s="23" t="s">
        <v>29</v>
      </c>
      <c r="S6" s="23" t="s">
        <v>20</v>
      </c>
      <c r="T6" s="23">
        <v>1</v>
      </c>
      <c r="U6" s="22" t="s">
        <v>29</v>
      </c>
      <c r="V6" s="23" t="s">
        <v>20</v>
      </c>
      <c r="W6" s="23">
        <v>2</v>
      </c>
      <c r="X6" s="23" t="s">
        <v>31</v>
      </c>
      <c r="Y6" s="23" t="s">
        <v>20</v>
      </c>
      <c r="Z6" s="23">
        <v>2</v>
      </c>
      <c r="AA6" s="23" t="s">
        <v>32</v>
      </c>
      <c r="AB6" s="23" t="s">
        <v>20</v>
      </c>
      <c r="AC6" s="23">
        <v>1</v>
      </c>
      <c r="AD6" s="23" t="s">
        <v>31</v>
      </c>
      <c r="AE6" s="23" t="s">
        <v>20</v>
      </c>
      <c r="AF6" s="23">
        <v>2</v>
      </c>
      <c r="AG6" s="23" t="s">
        <v>31</v>
      </c>
      <c r="AH6" s="23" t="s">
        <v>20</v>
      </c>
      <c r="AI6" s="23"/>
      <c r="AJ6" s="23" t="s">
        <v>31</v>
      </c>
      <c r="AK6" s="23" t="s">
        <v>20</v>
      </c>
      <c r="AL6" s="22">
        <v>2</v>
      </c>
      <c r="AM6" s="23" t="s">
        <v>31</v>
      </c>
      <c r="AN6" s="23" t="s">
        <v>20</v>
      </c>
      <c r="AO6" s="22"/>
      <c r="AP6" s="23" t="s">
        <v>31</v>
      </c>
      <c r="AQ6" s="24" t="s">
        <v>24</v>
      </c>
      <c r="AR6" s="23"/>
      <c r="AS6" s="22"/>
      <c r="AT6" s="23" t="s">
        <v>20</v>
      </c>
      <c r="AU6" s="23"/>
      <c r="AV6" s="23" t="s">
        <v>31</v>
      </c>
      <c r="AW6" s="22" t="s">
        <v>20</v>
      </c>
      <c r="AX6" s="23"/>
      <c r="AY6" s="23" t="s">
        <v>31</v>
      </c>
      <c r="AZ6" s="24" t="s">
        <v>24</v>
      </c>
      <c r="BA6" s="23"/>
      <c r="BB6" s="23"/>
      <c r="BC6" s="24" t="s">
        <v>24</v>
      </c>
      <c r="BD6" s="23"/>
      <c r="BE6" s="22"/>
      <c r="BF6" s="31" t="s">
        <v>20</v>
      </c>
      <c r="BG6" s="31"/>
      <c r="BH6" s="23" t="s">
        <v>31</v>
      </c>
      <c r="BI6" s="25" t="s">
        <v>20</v>
      </c>
      <c r="BJ6" s="23">
        <v>1</v>
      </c>
      <c r="BK6" s="23" t="s">
        <v>31</v>
      </c>
      <c r="BL6" s="31" t="s">
        <v>20</v>
      </c>
      <c r="BM6" s="25">
        <v>2</v>
      </c>
      <c r="BN6" s="25"/>
      <c r="BO6" s="23" t="s">
        <v>33</v>
      </c>
      <c r="BP6" s="23">
        <v>3</v>
      </c>
      <c r="BQ6" s="22" t="s">
        <v>22</v>
      </c>
      <c r="BR6" s="23" t="s">
        <v>20</v>
      </c>
      <c r="BS6" s="23"/>
      <c r="BT6" s="23" t="s">
        <v>31</v>
      </c>
      <c r="BU6" s="23" t="s">
        <v>20</v>
      </c>
      <c r="BV6" s="26"/>
      <c r="BW6" s="23" t="s">
        <v>31</v>
      </c>
      <c r="BX6" s="23" t="s">
        <v>20</v>
      </c>
      <c r="BY6" s="23"/>
      <c r="BZ6" s="23" t="s">
        <v>31</v>
      </c>
      <c r="CA6" s="24" t="s">
        <v>24</v>
      </c>
      <c r="CB6" s="23"/>
      <c r="CC6" s="23"/>
      <c r="CD6" s="23"/>
      <c r="CE6" s="22"/>
      <c r="CF6" s="23"/>
      <c r="CG6" s="23"/>
      <c r="CH6" s="23"/>
      <c r="CI6" s="22"/>
      <c r="CJ6" s="23"/>
      <c r="CK6" s="23"/>
      <c r="CL6" s="22"/>
      <c r="CM6" s="23"/>
      <c r="CN6" s="23"/>
      <c r="CO6" s="23"/>
      <c r="CP6" s="23"/>
      <c r="CQ6" s="23"/>
      <c r="CR6" s="23"/>
      <c r="CS6" s="27">
        <f t="shared" si="0"/>
        <v>0</v>
      </c>
      <c r="CT6" s="27">
        <f t="shared" si="1"/>
        <v>22</v>
      </c>
      <c r="CU6" s="27">
        <f t="shared" si="2"/>
        <v>17</v>
      </c>
      <c r="CV6" s="28">
        <v>700</v>
      </c>
      <c r="CW6" s="27">
        <f t="shared" si="3"/>
        <v>15400</v>
      </c>
      <c r="CX6" s="27">
        <f t="shared" si="4"/>
        <v>1487.5</v>
      </c>
      <c r="CY6" s="27">
        <f t="shared" ref="CY6:CY19" si="5">CW6+CX6</f>
        <v>16887.5</v>
      </c>
      <c r="CZ6" s="12"/>
      <c r="DA6" s="13"/>
    </row>
    <row r="7" spans="1:105" ht="29.45" customHeight="1" thickBot="1" x14ac:dyDescent="0.3">
      <c r="A7" s="19">
        <v>3</v>
      </c>
      <c r="B7" s="20" t="s">
        <v>34</v>
      </c>
      <c r="C7" s="30" t="s">
        <v>35</v>
      </c>
      <c r="D7" s="24" t="s">
        <v>24</v>
      </c>
      <c r="E7" s="22"/>
      <c r="F7" s="22"/>
      <c r="G7" s="22" t="s">
        <v>20</v>
      </c>
      <c r="H7" s="22"/>
      <c r="I7" s="22" t="s">
        <v>29</v>
      </c>
      <c r="J7" s="22" t="s">
        <v>20</v>
      </c>
      <c r="K7" s="22"/>
      <c r="L7" s="23" t="s">
        <v>29</v>
      </c>
      <c r="M7" s="22" t="s">
        <v>20</v>
      </c>
      <c r="N7" s="23"/>
      <c r="O7" s="22" t="s">
        <v>30</v>
      </c>
      <c r="P7" s="23" t="s">
        <v>20</v>
      </c>
      <c r="Q7" s="23"/>
      <c r="R7" s="22" t="s">
        <v>25</v>
      </c>
      <c r="S7" s="23" t="s">
        <v>20</v>
      </c>
      <c r="T7" s="23"/>
      <c r="U7" s="22" t="s">
        <v>25</v>
      </c>
      <c r="V7" s="23" t="s">
        <v>20</v>
      </c>
      <c r="W7" s="23"/>
      <c r="X7" s="23" t="s">
        <v>31</v>
      </c>
      <c r="Y7" s="26" t="s">
        <v>24</v>
      </c>
      <c r="Z7" s="23"/>
      <c r="AA7" s="22"/>
      <c r="AB7" s="23" t="s">
        <v>20</v>
      </c>
      <c r="AC7" s="23"/>
      <c r="AD7" s="23" t="s">
        <v>31</v>
      </c>
      <c r="AE7" s="23" t="s">
        <v>20</v>
      </c>
      <c r="AF7" s="23">
        <v>2</v>
      </c>
      <c r="AG7" s="22" t="s">
        <v>25</v>
      </c>
      <c r="AH7" s="23" t="s">
        <v>20</v>
      </c>
      <c r="AI7" s="23"/>
      <c r="AJ7" s="23" t="s">
        <v>25</v>
      </c>
      <c r="AK7" s="23" t="s">
        <v>20</v>
      </c>
      <c r="AL7" s="25">
        <v>2</v>
      </c>
      <c r="AM7" s="23" t="s">
        <v>25</v>
      </c>
      <c r="AN7" s="23" t="s">
        <v>20</v>
      </c>
      <c r="AO7" s="23"/>
      <c r="AP7" s="23" t="s">
        <v>31</v>
      </c>
      <c r="AQ7" s="24" t="s">
        <v>24</v>
      </c>
      <c r="AR7" s="22"/>
      <c r="AS7" s="22"/>
      <c r="AT7" s="22" t="s">
        <v>20</v>
      </c>
      <c r="AU7" s="22"/>
      <c r="AV7" s="23" t="s">
        <v>31</v>
      </c>
      <c r="AW7" s="22" t="s">
        <v>20</v>
      </c>
      <c r="AX7" s="22"/>
      <c r="AY7" s="23" t="s">
        <v>25</v>
      </c>
      <c r="AZ7" s="24" t="s">
        <v>24</v>
      </c>
      <c r="BA7" s="23"/>
      <c r="BB7" s="23"/>
      <c r="BC7" s="24" t="s">
        <v>24</v>
      </c>
      <c r="BD7" s="23"/>
      <c r="BE7" s="22"/>
      <c r="BF7" s="24" t="s">
        <v>24</v>
      </c>
      <c r="BG7" s="24"/>
      <c r="BH7" s="24"/>
      <c r="BI7" s="24" t="s">
        <v>24</v>
      </c>
      <c r="BJ7" s="23"/>
      <c r="BK7" s="24"/>
      <c r="BL7" s="24" t="s">
        <v>24</v>
      </c>
      <c r="BM7" s="25"/>
      <c r="BN7" s="25"/>
      <c r="BO7" s="24" t="s">
        <v>24</v>
      </c>
      <c r="BP7" s="23"/>
      <c r="BQ7" s="22"/>
      <c r="BR7" s="24" t="s">
        <v>24</v>
      </c>
      <c r="BS7" s="23"/>
      <c r="BT7" s="22"/>
      <c r="BU7" s="24" t="s">
        <v>24</v>
      </c>
      <c r="BV7" s="26"/>
      <c r="BW7" s="26"/>
      <c r="BX7" s="24" t="s">
        <v>24</v>
      </c>
      <c r="BY7" s="23"/>
      <c r="BZ7" s="32"/>
      <c r="CA7" s="24" t="s">
        <v>24</v>
      </c>
      <c r="CB7" s="23"/>
      <c r="CC7" s="23"/>
      <c r="CD7" s="23"/>
      <c r="CE7" s="22"/>
      <c r="CF7" s="23"/>
      <c r="CG7" s="23"/>
      <c r="CH7" s="23"/>
      <c r="CI7" s="22"/>
      <c r="CJ7" s="23"/>
      <c r="CK7" s="23"/>
      <c r="CL7" s="22"/>
      <c r="CM7" s="23"/>
      <c r="CN7" s="23"/>
      <c r="CO7" s="23"/>
      <c r="CP7" s="23"/>
      <c r="CQ7" s="23"/>
      <c r="CR7" s="23"/>
      <c r="CS7" s="27">
        <f t="shared" si="0"/>
        <v>0</v>
      </c>
      <c r="CT7" s="27">
        <f t="shared" si="1"/>
        <v>13</v>
      </c>
      <c r="CU7" s="27">
        <f t="shared" si="2"/>
        <v>4</v>
      </c>
      <c r="CV7" s="28">
        <v>600</v>
      </c>
      <c r="CW7" s="27">
        <f t="shared" si="3"/>
        <v>7800</v>
      </c>
      <c r="CX7" s="27">
        <f t="shared" si="4"/>
        <v>300</v>
      </c>
      <c r="CY7" s="27">
        <f t="shared" si="5"/>
        <v>8100</v>
      </c>
      <c r="CZ7" s="33"/>
      <c r="DA7" s="13"/>
    </row>
    <row r="8" spans="1:105" ht="29.45" customHeight="1" thickBot="1" x14ac:dyDescent="0.3">
      <c r="A8" s="19">
        <v>4</v>
      </c>
      <c r="B8" s="20" t="s">
        <v>36</v>
      </c>
      <c r="C8" s="30" t="s">
        <v>28</v>
      </c>
      <c r="D8" s="22" t="s">
        <v>20</v>
      </c>
      <c r="E8" s="22">
        <v>2</v>
      </c>
      <c r="F8" s="22" t="s">
        <v>37</v>
      </c>
      <c r="G8" s="22" t="s">
        <v>20</v>
      </c>
      <c r="H8" s="22">
        <v>1</v>
      </c>
      <c r="I8" s="22" t="s">
        <v>37</v>
      </c>
      <c r="J8" s="22" t="s">
        <v>20</v>
      </c>
      <c r="K8" s="22">
        <v>1</v>
      </c>
      <c r="L8" s="22" t="s">
        <v>23</v>
      </c>
      <c r="M8" s="22" t="s">
        <v>20</v>
      </c>
      <c r="N8" s="23">
        <v>4</v>
      </c>
      <c r="O8" s="22" t="s">
        <v>23</v>
      </c>
      <c r="P8" s="23" t="s">
        <v>20</v>
      </c>
      <c r="Q8" s="23"/>
      <c r="R8" s="23" t="s">
        <v>23</v>
      </c>
      <c r="S8" s="23" t="s">
        <v>20</v>
      </c>
      <c r="T8" s="23">
        <v>1</v>
      </c>
      <c r="U8" s="23" t="s">
        <v>23</v>
      </c>
      <c r="V8" s="23" t="s">
        <v>20</v>
      </c>
      <c r="W8" s="23">
        <v>1</v>
      </c>
      <c r="X8" s="23" t="s">
        <v>23</v>
      </c>
      <c r="Y8" s="23" t="s">
        <v>20</v>
      </c>
      <c r="Z8" s="23">
        <v>1</v>
      </c>
      <c r="AA8" s="23" t="s">
        <v>23</v>
      </c>
      <c r="AB8" s="23" t="s">
        <v>20</v>
      </c>
      <c r="AC8" s="23"/>
      <c r="AD8" s="23" t="s">
        <v>25</v>
      </c>
      <c r="AE8" s="23" t="s">
        <v>20</v>
      </c>
      <c r="AF8" s="23">
        <v>1</v>
      </c>
      <c r="AG8" s="23" t="s">
        <v>23</v>
      </c>
      <c r="AH8" s="23" t="s">
        <v>20</v>
      </c>
      <c r="AI8" s="23"/>
      <c r="AJ8" s="23" t="s">
        <v>25</v>
      </c>
      <c r="AK8" s="23" t="s">
        <v>20</v>
      </c>
      <c r="AL8" s="25">
        <v>1</v>
      </c>
      <c r="AM8" s="23" t="s">
        <v>23</v>
      </c>
      <c r="AN8" s="23" t="s">
        <v>20</v>
      </c>
      <c r="AO8" s="23">
        <v>1</v>
      </c>
      <c r="AP8" s="23" t="s">
        <v>23</v>
      </c>
      <c r="AQ8" s="24" t="s">
        <v>24</v>
      </c>
      <c r="AR8" s="22"/>
      <c r="AS8" s="22"/>
      <c r="AT8" s="22" t="s">
        <v>20</v>
      </c>
      <c r="AU8" s="22"/>
      <c r="AV8" s="23" t="s">
        <v>25</v>
      </c>
      <c r="AW8" s="22" t="s">
        <v>20</v>
      </c>
      <c r="AX8" s="22"/>
      <c r="AY8" s="23" t="s">
        <v>25</v>
      </c>
      <c r="AZ8" s="24" t="s">
        <v>24</v>
      </c>
      <c r="BA8" s="23"/>
      <c r="BB8" s="23"/>
      <c r="BC8" s="24" t="s">
        <v>24</v>
      </c>
      <c r="BD8" s="23"/>
      <c r="BE8" s="22"/>
      <c r="BF8" s="24" t="s">
        <v>24</v>
      </c>
      <c r="BG8" s="24"/>
      <c r="BH8" s="24"/>
      <c r="BI8" s="24" t="s">
        <v>24</v>
      </c>
      <c r="BJ8" s="23"/>
      <c r="BK8" s="24"/>
      <c r="BL8" s="24" t="s">
        <v>24</v>
      </c>
      <c r="BM8" s="25"/>
      <c r="BN8" s="25"/>
      <c r="BO8" s="24" t="s">
        <v>24</v>
      </c>
      <c r="BP8" s="23"/>
      <c r="BQ8" s="22"/>
      <c r="BR8" s="24" t="s">
        <v>24</v>
      </c>
      <c r="BS8" s="23"/>
      <c r="BT8" s="22"/>
      <c r="BU8" s="24" t="s">
        <v>24</v>
      </c>
      <c r="BV8" s="26"/>
      <c r="BW8" s="26"/>
      <c r="BX8" s="24" t="s">
        <v>24</v>
      </c>
      <c r="BY8" s="23"/>
      <c r="BZ8" s="23"/>
      <c r="CA8" s="24" t="s">
        <v>24</v>
      </c>
      <c r="CB8" s="23"/>
      <c r="CC8" s="23"/>
      <c r="CD8" s="23"/>
      <c r="CE8" s="22"/>
      <c r="CF8" s="23"/>
      <c r="CG8" s="23"/>
      <c r="CH8" s="23"/>
      <c r="CI8" s="22"/>
      <c r="CJ8" s="23"/>
      <c r="CK8" s="23"/>
      <c r="CL8" s="22"/>
      <c r="CM8" s="23"/>
      <c r="CN8" s="23"/>
      <c r="CO8" s="23"/>
      <c r="CP8" s="23"/>
      <c r="CQ8" s="23"/>
      <c r="CR8" s="23"/>
      <c r="CS8" s="27">
        <f t="shared" si="0"/>
        <v>0</v>
      </c>
      <c r="CT8" s="27">
        <f t="shared" si="1"/>
        <v>15</v>
      </c>
      <c r="CU8" s="27">
        <f t="shared" si="2"/>
        <v>14</v>
      </c>
      <c r="CV8" s="28">
        <v>800</v>
      </c>
      <c r="CW8" s="27">
        <f t="shared" si="3"/>
        <v>12000</v>
      </c>
      <c r="CX8" s="27">
        <f t="shared" si="4"/>
        <v>1400</v>
      </c>
      <c r="CY8" s="27">
        <f t="shared" si="5"/>
        <v>13400</v>
      </c>
      <c r="CZ8" s="34"/>
      <c r="DA8" s="13"/>
    </row>
    <row r="9" spans="1:105" ht="29.45" customHeight="1" thickBot="1" x14ac:dyDescent="0.3">
      <c r="A9" s="19">
        <v>5</v>
      </c>
      <c r="B9" s="20" t="s">
        <v>38</v>
      </c>
      <c r="C9" s="30" t="s">
        <v>28</v>
      </c>
      <c r="D9" s="22" t="s">
        <v>20</v>
      </c>
      <c r="E9" s="22">
        <v>1</v>
      </c>
      <c r="F9" s="22" t="s">
        <v>21</v>
      </c>
      <c r="G9" s="24" t="s">
        <v>24</v>
      </c>
      <c r="H9" s="22"/>
      <c r="I9" s="22"/>
      <c r="J9" s="22" t="s">
        <v>20</v>
      </c>
      <c r="K9" s="22">
        <v>2</v>
      </c>
      <c r="L9" s="22" t="s">
        <v>22</v>
      </c>
      <c r="M9" s="22" t="s">
        <v>20</v>
      </c>
      <c r="N9" s="23"/>
      <c r="O9" s="22" t="s">
        <v>22</v>
      </c>
      <c r="P9" s="23" t="s">
        <v>20</v>
      </c>
      <c r="Q9" s="23"/>
      <c r="R9" s="22" t="s">
        <v>22</v>
      </c>
      <c r="S9" s="23" t="s">
        <v>20</v>
      </c>
      <c r="T9" s="23"/>
      <c r="U9" s="22" t="s">
        <v>22</v>
      </c>
      <c r="V9" s="26" t="s">
        <v>24</v>
      </c>
      <c r="W9" s="23"/>
      <c r="X9" s="23"/>
      <c r="Y9" s="26" t="s">
        <v>24</v>
      </c>
      <c r="Z9" s="23"/>
      <c r="AA9" s="22"/>
      <c r="AB9" s="23" t="s">
        <v>20</v>
      </c>
      <c r="AC9" s="23"/>
      <c r="AD9" s="23" t="s">
        <v>25</v>
      </c>
      <c r="AE9" s="23" t="s">
        <v>20</v>
      </c>
      <c r="AF9" s="23">
        <v>2</v>
      </c>
      <c r="AG9" s="23" t="s">
        <v>31</v>
      </c>
      <c r="AH9" s="23" t="s">
        <v>20</v>
      </c>
      <c r="AI9" s="23"/>
      <c r="AJ9" s="23" t="s">
        <v>25</v>
      </c>
      <c r="AK9" s="23" t="s">
        <v>20</v>
      </c>
      <c r="AL9" s="25">
        <v>2</v>
      </c>
      <c r="AM9" s="23" t="s">
        <v>25</v>
      </c>
      <c r="AN9" s="23" t="s">
        <v>20</v>
      </c>
      <c r="AO9" s="23"/>
      <c r="AP9" s="23" t="s">
        <v>25</v>
      </c>
      <c r="AQ9" s="24" t="s">
        <v>24</v>
      </c>
      <c r="AR9" s="22"/>
      <c r="AS9" s="22"/>
      <c r="AT9" s="22" t="s">
        <v>20</v>
      </c>
      <c r="AU9" s="22"/>
      <c r="AV9" s="23" t="s">
        <v>31</v>
      </c>
      <c r="AW9" s="22" t="s">
        <v>20</v>
      </c>
      <c r="AX9" s="22"/>
      <c r="AY9" s="23" t="s">
        <v>31</v>
      </c>
      <c r="AZ9" s="24" t="s">
        <v>24</v>
      </c>
      <c r="BA9" s="23"/>
      <c r="BB9" s="23"/>
      <c r="BC9" s="24" t="s">
        <v>24</v>
      </c>
      <c r="BD9" s="23"/>
      <c r="BE9" s="22"/>
      <c r="BF9" s="31" t="s">
        <v>20</v>
      </c>
      <c r="BG9" s="31"/>
      <c r="BH9" s="23" t="s">
        <v>31</v>
      </c>
      <c r="BI9" s="25" t="s">
        <v>20</v>
      </c>
      <c r="BJ9" s="23">
        <v>1</v>
      </c>
      <c r="BK9" s="23" t="s">
        <v>31</v>
      </c>
      <c r="BL9" s="31" t="s">
        <v>20</v>
      </c>
      <c r="BM9" s="25">
        <v>2</v>
      </c>
      <c r="BN9" s="25"/>
      <c r="BO9" s="23" t="s">
        <v>20</v>
      </c>
      <c r="BP9" s="23">
        <v>1</v>
      </c>
      <c r="BQ9" s="23" t="s">
        <v>31</v>
      </c>
      <c r="BR9" s="23" t="s">
        <v>20</v>
      </c>
      <c r="BS9" s="23">
        <v>1</v>
      </c>
      <c r="BT9" s="23" t="s">
        <v>31</v>
      </c>
      <c r="BU9" s="23" t="s">
        <v>20</v>
      </c>
      <c r="BV9" s="23"/>
      <c r="BW9" s="23" t="s">
        <v>25</v>
      </c>
      <c r="BX9" s="23" t="s">
        <v>20</v>
      </c>
      <c r="BY9" s="23"/>
      <c r="BZ9" s="23" t="s">
        <v>25</v>
      </c>
      <c r="CA9" s="24" t="s">
        <v>24</v>
      </c>
      <c r="CB9" s="23"/>
      <c r="CC9" s="23"/>
      <c r="CD9" s="23"/>
      <c r="CE9" s="22"/>
      <c r="CF9" s="23"/>
      <c r="CG9" s="23"/>
      <c r="CH9" s="23"/>
      <c r="CI9" s="22"/>
      <c r="CJ9" s="23"/>
      <c r="CK9" s="23"/>
      <c r="CL9" s="22"/>
      <c r="CM9" s="23"/>
      <c r="CN9" s="23"/>
      <c r="CO9" s="23"/>
      <c r="CP9" s="23"/>
      <c r="CQ9" s="23"/>
      <c r="CR9" s="23"/>
      <c r="CS9" s="27">
        <f t="shared" si="0"/>
        <v>0</v>
      </c>
      <c r="CT9" s="27">
        <f t="shared" si="1"/>
        <v>19</v>
      </c>
      <c r="CU9" s="27">
        <f t="shared" si="2"/>
        <v>12</v>
      </c>
      <c r="CV9" s="28">
        <v>700</v>
      </c>
      <c r="CW9" s="27">
        <f t="shared" si="3"/>
        <v>13300</v>
      </c>
      <c r="CX9" s="27">
        <f t="shared" si="4"/>
        <v>1050</v>
      </c>
      <c r="CY9" s="27">
        <f t="shared" si="5"/>
        <v>14350</v>
      </c>
      <c r="CZ9" s="33"/>
      <c r="DA9" s="13"/>
    </row>
    <row r="10" spans="1:105" ht="29.45" customHeight="1" thickBot="1" x14ac:dyDescent="0.3">
      <c r="A10" s="19">
        <v>6</v>
      </c>
      <c r="B10" s="20" t="s">
        <v>39</v>
      </c>
      <c r="C10" s="30" t="s">
        <v>40</v>
      </c>
      <c r="D10" s="24" t="s">
        <v>24</v>
      </c>
      <c r="E10" s="22"/>
      <c r="F10" s="22"/>
      <c r="G10" s="22" t="s">
        <v>20</v>
      </c>
      <c r="H10" s="22">
        <v>2</v>
      </c>
      <c r="I10" s="22" t="s">
        <v>21</v>
      </c>
      <c r="J10" s="22" t="s">
        <v>20</v>
      </c>
      <c r="K10" s="22">
        <v>1</v>
      </c>
      <c r="L10" s="22" t="s">
        <v>23</v>
      </c>
      <c r="M10" s="22" t="s">
        <v>20</v>
      </c>
      <c r="N10" s="23">
        <v>4</v>
      </c>
      <c r="O10" s="22" t="s">
        <v>23</v>
      </c>
      <c r="P10" s="23" t="s">
        <v>20</v>
      </c>
      <c r="Q10" s="23"/>
      <c r="R10" s="23" t="s">
        <v>23</v>
      </c>
      <c r="S10" s="23" t="s">
        <v>20</v>
      </c>
      <c r="T10" s="23">
        <v>1</v>
      </c>
      <c r="U10" s="23" t="s">
        <v>23</v>
      </c>
      <c r="V10" s="23" t="s">
        <v>20</v>
      </c>
      <c r="W10" s="23">
        <v>1</v>
      </c>
      <c r="X10" s="23" t="s">
        <v>23</v>
      </c>
      <c r="Y10" s="23" t="s">
        <v>20</v>
      </c>
      <c r="Z10" s="23">
        <v>1</v>
      </c>
      <c r="AA10" s="23" t="s">
        <v>23</v>
      </c>
      <c r="AB10" s="23" t="s">
        <v>20</v>
      </c>
      <c r="AC10" s="23"/>
      <c r="AD10" s="22" t="s">
        <v>22</v>
      </c>
      <c r="AE10" s="23" t="s">
        <v>20</v>
      </c>
      <c r="AF10" s="23">
        <v>1</v>
      </c>
      <c r="AG10" s="23" t="s">
        <v>23</v>
      </c>
      <c r="AH10" s="23" t="s">
        <v>20</v>
      </c>
      <c r="AI10" s="23"/>
      <c r="AJ10" s="23" t="s">
        <v>25</v>
      </c>
      <c r="AK10" s="26" t="s">
        <v>24</v>
      </c>
      <c r="AL10" s="25"/>
      <c r="AM10" s="22"/>
      <c r="AN10" s="23" t="s">
        <v>20</v>
      </c>
      <c r="AO10" s="23"/>
      <c r="AP10" s="23" t="s">
        <v>31</v>
      </c>
      <c r="AQ10" s="24" t="s">
        <v>24</v>
      </c>
      <c r="AR10" s="22"/>
      <c r="AS10" s="22"/>
      <c r="AT10" s="22" t="s">
        <v>20</v>
      </c>
      <c r="AU10" s="22"/>
      <c r="AV10" s="23" t="s">
        <v>25</v>
      </c>
      <c r="AW10" s="22" t="s">
        <v>20</v>
      </c>
      <c r="AX10" s="22"/>
      <c r="AY10" s="23" t="s">
        <v>25</v>
      </c>
      <c r="AZ10" s="24" t="s">
        <v>24</v>
      </c>
      <c r="BA10" s="23"/>
      <c r="BB10" s="23"/>
      <c r="BC10" s="24" t="s">
        <v>24</v>
      </c>
      <c r="BD10" s="23"/>
      <c r="BE10" s="22"/>
      <c r="BF10" s="31" t="s">
        <v>20</v>
      </c>
      <c r="BG10" s="31"/>
      <c r="BH10" s="23" t="s">
        <v>31</v>
      </c>
      <c r="BI10" s="25" t="s">
        <v>20</v>
      </c>
      <c r="BJ10" s="23">
        <v>1</v>
      </c>
      <c r="BK10" s="23" t="s">
        <v>31</v>
      </c>
      <c r="BL10" s="31" t="s">
        <v>20</v>
      </c>
      <c r="BM10" s="25"/>
      <c r="BN10" s="25"/>
      <c r="BO10" s="23" t="s">
        <v>20</v>
      </c>
      <c r="BP10" s="23">
        <v>1</v>
      </c>
      <c r="BQ10" s="22" t="s">
        <v>22</v>
      </c>
      <c r="BR10" s="24" t="s">
        <v>24</v>
      </c>
      <c r="BS10" s="23"/>
      <c r="BT10" s="23"/>
      <c r="BU10" s="23" t="s">
        <v>20</v>
      </c>
      <c r="BV10" s="23"/>
      <c r="BW10" s="23" t="s">
        <v>41</v>
      </c>
      <c r="BX10" s="23" t="s">
        <v>20</v>
      </c>
      <c r="BY10" s="23"/>
      <c r="BZ10" s="23" t="s">
        <v>25</v>
      </c>
      <c r="CA10" s="24" t="s">
        <v>24</v>
      </c>
      <c r="CB10" s="23"/>
      <c r="CC10" s="23"/>
      <c r="CD10" s="23"/>
      <c r="CE10" s="22"/>
      <c r="CF10" s="23"/>
      <c r="CG10" s="23"/>
      <c r="CH10" s="23"/>
      <c r="CI10" s="22"/>
      <c r="CJ10" s="23"/>
      <c r="CK10" s="23"/>
      <c r="CL10" s="22"/>
      <c r="CM10" s="23"/>
      <c r="CN10" s="23"/>
      <c r="CO10" s="35"/>
      <c r="CP10" s="35"/>
      <c r="CQ10" s="35"/>
      <c r="CR10" s="35"/>
      <c r="CS10" s="27">
        <f t="shared" si="0"/>
        <v>0</v>
      </c>
      <c r="CT10" s="27">
        <f t="shared" si="1"/>
        <v>19</v>
      </c>
      <c r="CU10" s="27">
        <f t="shared" si="2"/>
        <v>13</v>
      </c>
      <c r="CV10" s="28">
        <v>700</v>
      </c>
      <c r="CW10" s="27">
        <f t="shared" si="3"/>
        <v>13300</v>
      </c>
      <c r="CX10" s="27">
        <f t="shared" si="4"/>
        <v>1137.5</v>
      </c>
      <c r="CY10" s="27">
        <f t="shared" si="5"/>
        <v>14437.5</v>
      </c>
      <c r="CZ10" s="33"/>
      <c r="DA10" s="13"/>
    </row>
    <row r="11" spans="1:105" ht="29.45" customHeight="1" thickBot="1" x14ac:dyDescent="0.3">
      <c r="A11" s="19">
        <v>7</v>
      </c>
      <c r="B11" s="20" t="s">
        <v>42</v>
      </c>
      <c r="C11" s="30" t="s">
        <v>28</v>
      </c>
      <c r="D11" s="22" t="s">
        <v>20</v>
      </c>
      <c r="E11" s="22"/>
      <c r="F11" s="22" t="s">
        <v>37</v>
      </c>
      <c r="G11" s="24" t="s">
        <v>24</v>
      </c>
      <c r="H11" s="22"/>
      <c r="I11" s="22"/>
      <c r="J11" s="24" t="s">
        <v>24</v>
      </c>
      <c r="K11" s="22"/>
      <c r="L11" s="22"/>
      <c r="M11" s="22" t="s">
        <v>20</v>
      </c>
      <c r="N11" s="22"/>
      <c r="O11" s="22" t="s">
        <v>30</v>
      </c>
      <c r="P11" s="26" t="s">
        <v>24</v>
      </c>
      <c r="Q11" s="23"/>
      <c r="R11" s="22"/>
      <c r="S11" s="26" t="s">
        <v>24</v>
      </c>
      <c r="T11" s="23"/>
      <c r="U11" s="22"/>
      <c r="V11" s="26" t="s">
        <v>24</v>
      </c>
      <c r="W11" s="23"/>
      <c r="X11" s="22"/>
      <c r="Y11" s="26" t="s">
        <v>24</v>
      </c>
      <c r="Z11" s="23"/>
      <c r="AA11" s="22"/>
      <c r="AB11" s="26" t="s">
        <v>24</v>
      </c>
      <c r="AC11" s="23"/>
      <c r="AD11" s="22"/>
      <c r="AE11" s="26" t="s">
        <v>24</v>
      </c>
      <c r="AF11" s="23"/>
      <c r="AG11" s="22"/>
      <c r="AH11" s="26" t="s">
        <v>24</v>
      </c>
      <c r="AI11" s="23"/>
      <c r="AJ11" s="22"/>
      <c r="AK11" s="26" t="s">
        <v>24</v>
      </c>
      <c r="AL11" s="25"/>
      <c r="AM11" s="22"/>
      <c r="AN11" s="26" t="s">
        <v>24</v>
      </c>
      <c r="AO11" s="23"/>
      <c r="AP11" s="22"/>
      <c r="AQ11" s="24" t="s">
        <v>24</v>
      </c>
      <c r="AR11" s="22"/>
      <c r="AS11" s="22"/>
      <c r="AT11" s="24" t="s">
        <v>24</v>
      </c>
      <c r="AU11" s="22"/>
      <c r="AV11" s="22"/>
      <c r="AW11" s="24" t="s">
        <v>24</v>
      </c>
      <c r="AX11" s="22"/>
      <c r="AY11" s="22"/>
      <c r="AZ11" s="24" t="s">
        <v>24</v>
      </c>
      <c r="BA11" s="23"/>
      <c r="BB11" s="23"/>
      <c r="BC11" s="24" t="s">
        <v>24</v>
      </c>
      <c r="BD11" s="23"/>
      <c r="BE11" s="22"/>
      <c r="BF11" s="24" t="s">
        <v>24</v>
      </c>
      <c r="BG11" s="24"/>
      <c r="BH11" s="24"/>
      <c r="BI11" s="24" t="s">
        <v>24</v>
      </c>
      <c r="BJ11" s="23"/>
      <c r="BK11" s="24"/>
      <c r="BL11" s="24" t="s">
        <v>24</v>
      </c>
      <c r="BM11" s="25"/>
      <c r="BN11" s="25"/>
      <c r="BO11" s="24" t="s">
        <v>24</v>
      </c>
      <c r="BP11" s="23"/>
      <c r="BQ11" s="22"/>
      <c r="BR11" s="24" t="s">
        <v>24</v>
      </c>
      <c r="BS11" s="23"/>
      <c r="BT11" s="22"/>
      <c r="BU11" s="24" t="s">
        <v>24</v>
      </c>
      <c r="BV11" s="23"/>
      <c r="BW11" s="23"/>
      <c r="BX11" s="24" t="s">
        <v>24</v>
      </c>
      <c r="BY11" s="23"/>
      <c r="BZ11" s="23"/>
      <c r="CA11" s="24" t="s">
        <v>24</v>
      </c>
      <c r="CB11" s="23"/>
      <c r="CC11" s="23"/>
      <c r="CD11" s="23"/>
      <c r="CE11" s="22"/>
      <c r="CF11" s="23"/>
      <c r="CG11" s="23"/>
      <c r="CH11" s="23"/>
      <c r="CI11" s="22"/>
      <c r="CJ11" s="23"/>
      <c r="CK11" s="23"/>
      <c r="CL11" s="22"/>
      <c r="CM11" s="23"/>
      <c r="CN11" s="23"/>
      <c r="CO11" s="35"/>
      <c r="CP11" s="35"/>
      <c r="CQ11" s="35"/>
      <c r="CR11" s="35"/>
      <c r="CS11" s="27">
        <f t="shared" si="0"/>
        <v>0</v>
      </c>
      <c r="CT11" s="27">
        <f t="shared" si="1"/>
        <v>2</v>
      </c>
      <c r="CU11" s="27">
        <f t="shared" si="2"/>
        <v>0</v>
      </c>
      <c r="CV11" s="28">
        <v>850</v>
      </c>
      <c r="CW11" s="27">
        <f t="shared" si="3"/>
        <v>1700</v>
      </c>
      <c r="CX11" s="27">
        <f t="shared" si="4"/>
        <v>0</v>
      </c>
      <c r="CY11" s="27">
        <f t="shared" si="5"/>
        <v>1700</v>
      </c>
      <c r="CZ11" s="33"/>
      <c r="DA11" s="13"/>
    </row>
    <row r="12" spans="1:105" ht="29.45" customHeight="1" thickBot="1" x14ac:dyDescent="0.3">
      <c r="A12" s="19">
        <v>8</v>
      </c>
      <c r="B12" s="20" t="s">
        <v>43</v>
      </c>
      <c r="C12" s="30" t="s">
        <v>40</v>
      </c>
      <c r="D12" s="22" t="s">
        <v>20</v>
      </c>
      <c r="E12" s="22">
        <v>1</v>
      </c>
      <c r="F12" s="22" t="s">
        <v>21</v>
      </c>
      <c r="G12" s="22" t="s">
        <v>20</v>
      </c>
      <c r="H12" s="22">
        <v>2</v>
      </c>
      <c r="I12" s="22" t="s">
        <v>21</v>
      </c>
      <c r="J12" s="22" t="s">
        <v>20</v>
      </c>
      <c r="K12" s="22">
        <v>2</v>
      </c>
      <c r="L12" s="22" t="s">
        <v>22</v>
      </c>
      <c r="M12" s="22" t="s">
        <v>20</v>
      </c>
      <c r="N12" s="22"/>
      <c r="O12" s="22" t="s">
        <v>22</v>
      </c>
      <c r="P12" s="26" t="s">
        <v>24</v>
      </c>
      <c r="Q12" s="23"/>
      <c r="R12" s="22"/>
      <c r="S12" s="26" t="s">
        <v>24</v>
      </c>
      <c r="T12" s="23"/>
      <c r="U12" s="22"/>
      <c r="V12" s="26" t="s">
        <v>24</v>
      </c>
      <c r="W12" s="23"/>
      <c r="X12" s="22"/>
      <c r="Y12" s="26" t="s">
        <v>24</v>
      </c>
      <c r="Z12" s="23"/>
      <c r="AA12" s="22"/>
      <c r="AB12" s="26" t="s">
        <v>24</v>
      </c>
      <c r="AC12" s="23"/>
      <c r="AD12" s="22"/>
      <c r="AE12" s="26" t="s">
        <v>24</v>
      </c>
      <c r="AF12" s="23"/>
      <c r="AG12" s="22"/>
      <c r="AH12" s="26" t="s">
        <v>24</v>
      </c>
      <c r="AI12" s="23"/>
      <c r="AJ12" s="22"/>
      <c r="AK12" s="26" t="s">
        <v>24</v>
      </c>
      <c r="AL12" s="25"/>
      <c r="AM12" s="22"/>
      <c r="AN12" s="26" t="s">
        <v>24</v>
      </c>
      <c r="AO12" s="23"/>
      <c r="AP12" s="22"/>
      <c r="AQ12" s="24" t="s">
        <v>24</v>
      </c>
      <c r="AR12" s="22"/>
      <c r="AS12" s="22"/>
      <c r="AT12" s="24" t="s">
        <v>24</v>
      </c>
      <c r="AU12" s="22"/>
      <c r="AV12" s="22"/>
      <c r="AW12" s="24" t="s">
        <v>24</v>
      </c>
      <c r="AX12" s="22"/>
      <c r="AY12" s="22"/>
      <c r="AZ12" s="24" t="s">
        <v>24</v>
      </c>
      <c r="BA12" s="23"/>
      <c r="BB12" s="23"/>
      <c r="BC12" s="24" t="s">
        <v>24</v>
      </c>
      <c r="BD12" s="23"/>
      <c r="BE12" s="22"/>
      <c r="BF12" s="24" t="s">
        <v>24</v>
      </c>
      <c r="BG12" s="24"/>
      <c r="BH12" s="24"/>
      <c r="BI12" s="24" t="s">
        <v>24</v>
      </c>
      <c r="BJ12" s="23"/>
      <c r="BK12" s="24"/>
      <c r="BL12" s="24" t="s">
        <v>24</v>
      </c>
      <c r="BM12" s="25"/>
      <c r="BN12" s="25"/>
      <c r="BO12" s="24" t="s">
        <v>24</v>
      </c>
      <c r="BP12" s="23"/>
      <c r="BQ12" s="22"/>
      <c r="BR12" s="24" t="s">
        <v>24</v>
      </c>
      <c r="BS12" s="23"/>
      <c r="BT12" s="22"/>
      <c r="BU12" s="24" t="s">
        <v>24</v>
      </c>
      <c r="BV12" s="23"/>
      <c r="BW12" s="23"/>
      <c r="BX12" s="24" t="s">
        <v>24</v>
      </c>
      <c r="BY12" s="23"/>
      <c r="BZ12" s="23"/>
      <c r="CA12" s="24" t="s">
        <v>24</v>
      </c>
      <c r="CB12" s="23"/>
      <c r="CC12" s="23"/>
      <c r="CD12" s="23"/>
      <c r="CE12" s="22"/>
      <c r="CF12" s="23"/>
      <c r="CG12" s="23"/>
      <c r="CH12" s="23"/>
      <c r="CI12" s="22"/>
      <c r="CJ12" s="23"/>
      <c r="CK12" s="23"/>
      <c r="CL12" s="22"/>
      <c r="CM12" s="23"/>
      <c r="CN12" s="23"/>
      <c r="CO12" s="35"/>
      <c r="CP12" s="35"/>
      <c r="CQ12" s="35"/>
      <c r="CR12" s="35"/>
      <c r="CS12" s="27">
        <f t="shared" si="0"/>
        <v>0</v>
      </c>
      <c r="CT12" s="27">
        <f t="shared" si="1"/>
        <v>4</v>
      </c>
      <c r="CU12" s="27">
        <f t="shared" si="2"/>
        <v>5</v>
      </c>
      <c r="CV12" s="28">
        <v>700</v>
      </c>
      <c r="CW12" s="27">
        <f t="shared" si="3"/>
        <v>2800</v>
      </c>
      <c r="CX12" s="27">
        <f t="shared" si="4"/>
        <v>437.5</v>
      </c>
      <c r="CY12" s="27">
        <f t="shared" si="5"/>
        <v>3237.5</v>
      </c>
      <c r="CZ12" s="33"/>
      <c r="DA12" s="13"/>
    </row>
    <row r="13" spans="1:105" ht="29.45" customHeight="1" thickBot="1" x14ac:dyDescent="0.3">
      <c r="A13" s="19">
        <v>9</v>
      </c>
      <c r="B13" s="20" t="s">
        <v>44</v>
      </c>
      <c r="C13" s="30" t="s">
        <v>40</v>
      </c>
      <c r="D13" s="22" t="s">
        <v>20</v>
      </c>
      <c r="E13" s="22">
        <v>2</v>
      </c>
      <c r="F13" s="22" t="s">
        <v>37</v>
      </c>
      <c r="G13" s="22" t="s">
        <v>20</v>
      </c>
      <c r="H13" s="22">
        <v>1</v>
      </c>
      <c r="I13" s="22" t="s">
        <v>37</v>
      </c>
      <c r="J13" s="22" t="s">
        <v>20</v>
      </c>
      <c r="K13" s="22">
        <v>1</v>
      </c>
      <c r="L13" s="22" t="s">
        <v>23</v>
      </c>
      <c r="M13" s="22" t="s">
        <v>20</v>
      </c>
      <c r="N13" s="22"/>
      <c r="O13" s="22" t="s">
        <v>22</v>
      </c>
      <c r="P13" s="26" t="s">
        <v>24</v>
      </c>
      <c r="Q13" s="23"/>
      <c r="R13" s="22"/>
      <c r="S13" s="23" t="s">
        <v>20</v>
      </c>
      <c r="T13" s="23"/>
      <c r="U13" s="22" t="s">
        <v>22</v>
      </c>
      <c r="V13" s="23" t="s">
        <v>20</v>
      </c>
      <c r="W13" s="23"/>
      <c r="X13" s="22" t="s">
        <v>22</v>
      </c>
      <c r="Y13" s="23" t="s">
        <v>20</v>
      </c>
      <c r="Z13" s="23"/>
      <c r="AA13" s="22" t="s">
        <v>22</v>
      </c>
      <c r="AB13" s="23" t="s">
        <v>20</v>
      </c>
      <c r="AC13" s="23"/>
      <c r="AD13" s="22" t="s">
        <v>22</v>
      </c>
      <c r="AE13" s="23" t="s">
        <v>20</v>
      </c>
      <c r="AF13" s="23">
        <v>1</v>
      </c>
      <c r="AG13" s="23" t="s">
        <v>23</v>
      </c>
      <c r="AH13" s="26" t="s">
        <v>24</v>
      </c>
      <c r="AI13" s="23"/>
      <c r="AJ13" s="22"/>
      <c r="AK13" s="26" t="s">
        <v>24</v>
      </c>
      <c r="AL13" s="25"/>
      <c r="AM13" s="22"/>
      <c r="AN13" s="23" t="s">
        <v>20</v>
      </c>
      <c r="AO13" s="23">
        <v>1</v>
      </c>
      <c r="AP13" s="23" t="s">
        <v>23</v>
      </c>
      <c r="AQ13" s="24" t="s">
        <v>24</v>
      </c>
      <c r="AR13" s="22"/>
      <c r="AS13" s="22"/>
      <c r="AT13" s="22" t="s">
        <v>20</v>
      </c>
      <c r="AU13" s="22"/>
      <c r="AV13" s="23" t="s">
        <v>25</v>
      </c>
      <c r="AW13" s="22" t="s">
        <v>20</v>
      </c>
      <c r="AX13" s="22"/>
      <c r="AY13" s="23" t="s">
        <v>25</v>
      </c>
      <c r="AZ13" s="24" t="s">
        <v>24</v>
      </c>
      <c r="BA13" s="23"/>
      <c r="BB13" s="23"/>
      <c r="BC13" s="24" t="s">
        <v>24</v>
      </c>
      <c r="BD13" s="23"/>
      <c r="BE13" s="22"/>
      <c r="BF13" s="31" t="s">
        <v>20</v>
      </c>
      <c r="BG13" s="31"/>
      <c r="BH13" s="23" t="s">
        <v>31</v>
      </c>
      <c r="BI13" s="25" t="s">
        <v>20</v>
      </c>
      <c r="BJ13" s="23">
        <v>1</v>
      </c>
      <c r="BK13" s="23" t="s">
        <v>31</v>
      </c>
      <c r="BL13" s="31" t="s">
        <v>20</v>
      </c>
      <c r="BM13" s="25"/>
      <c r="BN13" s="25"/>
      <c r="BO13" s="24" t="s">
        <v>24</v>
      </c>
      <c r="BP13" s="23"/>
      <c r="BQ13" s="22"/>
      <c r="BR13" s="23" t="s">
        <v>20</v>
      </c>
      <c r="BS13" s="23">
        <v>1</v>
      </c>
      <c r="BT13" s="23" t="s">
        <v>22</v>
      </c>
      <c r="BU13" s="23" t="s">
        <v>33</v>
      </c>
      <c r="BV13" s="23"/>
      <c r="BW13" s="23" t="s">
        <v>22</v>
      </c>
      <c r="BX13" s="23" t="s">
        <v>20</v>
      </c>
      <c r="BY13" s="23"/>
      <c r="BZ13" s="23" t="s">
        <v>22</v>
      </c>
      <c r="CA13" s="24" t="s">
        <v>24</v>
      </c>
      <c r="CB13" s="23"/>
      <c r="CC13" s="23"/>
      <c r="CD13" s="23"/>
      <c r="CE13" s="22"/>
      <c r="CF13" s="23"/>
      <c r="CG13" s="23"/>
      <c r="CH13" s="23"/>
      <c r="CI13" s="22"/>
      <c r="CJ13" s="23"/>
      <c r="CK13" s="23"/>
      <c r="CL13" s="22"/>
      <c r="CM13" s="23"/>
      <c r="CN13" s="23"/>
      <c r="CO13" s="35"/>
      <c r="CP13" s="35"/>
      <c r="CQ13" s="35"/>
      <c r="CR13" s="35"/>
      <c r="CS13" s="27">
        <f t="shared" si="0"/>
        <v>0</v>
      </c>
      <c r="CT13" s="27">
        <f t="shared" si="1"/>
        <v>18</v>
      </c>
      <c r="CU13" s="27">
        <f t="shared" si="2"/>
        <v>8</v>
      </c>
      <c r="CV13" s="28">
        <v>600</v>
      </c>
      <c r="CW13" s="27">
        <f t="shared" si="3"/>
        <v>10800</v>
      </c>
      <c r="CX13" s="27">
        <f t="shared" si="4"/>
        <v>600</v>
      </c>
      <c r="CY13" s="27">
        <f t="shared" si="5"/>
        <v>11400</v>
      </c>
      <c r="CZ13" s="33"/>
      <c r="DA13" s="13"/>
    </row>
    <row r="14" spans="1:105" ht="29.45" customHeight="1" thickBot="1" x14ac:dyDescent="0.3">
      <c r="A14" s="19">
        <v>10</v>
      </c>
      <c r="B14" s="20" t="s">
        <v>45</v>
      </c>
      <c r="C14" s="30" t="s">
        <v>40</v>
      </c>
      <c r="D14" s="22" t="s">
        <v>20</v>
      </c>
      <c r="E14" s="22">
        <v>1</v>
      </c>
      <c r="F14" s="22" t="s">
        <v>46</v>
      </c>
      <c r="G14" s="22" t="s">
        <v>20</v>
      </c>
      <c r="H14" s="22">
        <v>2</v>
      </c>
      <c r="I14" s="22" t="s">
        <v>21</v>
      </c>
      <c r="J14" s="22" t="s">
        <v>20</v>
      </c>
      <c r="K14" s="22">
        <v>2</v>
      </c>
      <c r="L14" s="22" t="s">
        <v>22</v>
      </c>
      <c r="M14" s="22" t="s">
        <v>20</v>
      </c>
      <c r="N14" s="22"/>
      <c r="O14" s="22" t="s">
        <v>22</v>
      </c>
      <c r="P14" s="23" t="s">
        <v>20</v>
      </c>
      <c r="Q14" s="23"/>
      <c r="R14" s="22" t="s">
        <v>22</v>
      </c>
      <c r="S14" s="26" t="s">
        <v>24</v>
      </c>
      <c r="T14" s="23"/>
      <c r="U14" s="22"/>
      <c r="V14" s="23" t="s">
        <v>20</v>
      </c>
      <c r="W14" s="23">
        <v>2</v>
      </c>
      <c r="X14" s="22" t="s">
        <v>26</v>
      </c>
      <c r="Y14" s="23" t="s">
        <v>20</v>
      </c>
      <c r="Z14" s="23">
        <v>2</v>
      </c>
      <c r="AA14" s="22" t="s">
        <v>26</v>
      </c>
      <c r="AB14" s="23" t="s">
        <v>20</v>
      </c>
      <c r="AC14" s="26"/>
      <c r="AD14" s="23" t="s">
        <v>25</v>
      </c>
      <c r="AE14" s="23" t="s">
        <v>20</v>
      </c>
      <c r="AF14" s="23">
        <v>1</v>
      </c>
      <c r="AG14" s="23" t="s">
        <v>23</v>
      </c>
      <c r="AH14" s="23" t="s">
        <v>20</v>
      </c>
      <c r="AI14" s="23"/>
      <c r="AJ14" s="23" t="s">
        <v>25</v>
      </c>
      <c r="AK14" s="23" t="s">
        <v>20</v>
      </c>
      <c r="AL14" s="25">
        <v>1</v>
      </c>
      <c r="AM14" s="23" t="s">
        <v>23</v>
      </c>
      <c r="AN14" s="23" t="s">
        <v>20</v>
      </c>
      <c r="AO14" s="23">
        <v>1</v>
      </c>
      <c r="AP14" s="23" t="s">
        <v>23</v>
      </c>
      <c r="AQ14" s="24" t="s">
        <v>24</v>
      </c>
      <c r="AR14" s="22"/>
      <c r="AS14" s="22"/>
      <c r="AT14" s="22" t="s">
        <v>20</v>
      </c>
      <c r="AU14" s="22"/>
      <c r="AV14" s="23" t="s">
        <v>25</v>
      </c>
      <c r="AW14" s="22" t="s">
        <v>20</v>
      </c>
      <c r="AX14" s="22"/>
      <c r="AY14" s="23" t="s">
        <v>25</v>
      </c>
      <c r="AZ14" s="24" t="s">
        <v>24</v>
      </c>
      <c r="BA14" s="23"/>
      <c r="BB14" s="23"/>
      <c r="BC14" s="24" t="s">
        <v>24</v>
      </c>
      <c r="BD14" s="23"/>
      <c r="BE14" s="22"/>
      <c r="BF14" s="31" t="s">
        <v>20</v>
      </c>
      <c r="BG14" s="31"/>
      <c r="BH14" s="23" t="s">
        <v>31</v>
      </c>
      <c r="BI14" s="25" t="s">
        <v>20</v>
      </c>
      <c r="BJ14" s="23">
        <v>1</v>
      </c>
      <c r="BK14" s="23" t="s">
        <v>31</v>
      </c>
      <c r="BL14" s="31" t="s">
        <v>20</v>
      </c>
      <c r="BM14" s="25"/>
      <c r="BN14" s="25"/>
      <c r="BO14" s="23" t="s">
        <v>20</v>
      </c>
      <c r="BP14" s="23">
        <v>1</v>
      </c>
      <c r="BQ14" s="22" t="s">
        <v>22</v>
      </c>
      <c r="BR14" s="23" t="s">
        <v>20</v>
      </c>
      <c r="BS14" s="23">
        <v>1</v>
      </c>
      <c r="BT14" s="23" t="s">
        <v>22</v>
      </c>
      <c r="BU14" s="23" t="s">
        <v>33</v>
      </c>
      <c r="BV14" s="23"/>
      <c r="BW14" s="23" t="s">
        <v>22</v>
      </c>
      <c r="BX14" s="23" t="s">
        <v>20</v>
      </c>
      <c r="BY14" s="23"/>
      <c r="BZ14" s="23" t="s">
        <v>22</v>
      </c>
      <c r="CA14" s="24" t="s">
        <v>24</v>
      </c>
      <c r="CB14" s="23"/>
      <c r="CC14" s="23"/>
      <c r="CD14" s="23"/>
      <c r="CE14" s="22"/>
      <c r="CF14" s="23"/>
      <c r="CG14" s="23"/>
      <c r="CH14" s="23"/>
      <c r="CI14" s="22"/>
      <c r="CJ14" s="23"/>
      <c r="CK14" s="23"/>
      <c r="CL14" s="22"/>
      <c r="CM14" s="23"/>
      <c r="CN14" s="23"/>
      <c r="CO14" s="35"/>
      <c r="CP14" s="35"/>
      <c r="CQ14" s="35"/>
      <c r="CR14" s="35"/>
      <c r="CS14" s="27">
        <f t="shared" si="0"/>
        <v>0</v>
      </c>
      <c r="CT14" s="27">
        <f t="shared" si="1"/>
        <v>21</v>
      </c>
      <c r="CU14" s="27">
        <f t="shared" si="2"/>
        <v>15</v>
      </c>
      <c r="CV14" s="28">
        <v>700</v>
      </c>
      <c r="CW14" s="27">
        <f t="shared" si="3"/>
        <v>14700</v>
      </c>
      <c r="CX14" s="27">
        <f t="shared" si="4"/>
        <v>1312.5</v>
      </c>
      <c r="CY14" s="27">
        <f t="shared" si="5"/>
        <v>16012.5</v>
      </c>
      <c r="CZ14" s="33"/>
      <c r="DA14" s="13"/>
    </row>
    <row r="15" spans="1:105" ht="29.45" customHeight="1" thickBot="1" x14ac:dyDescent="0.3">
      <c r="A15" s="19">
        <v>11</v>
      </c>
      <c r="B15" s="20" t="s">
        <v>47</v>
      </c>
      <c r="C15" s="30" t="s">
        <v>19</v>
      </c>
      <c r="D15" s="22" t="s">
        <v>20</v>
      </c>
      <c r="E15" s="22">
        <v>1</v>
      </c>
      <c r="F15" s="22" t="s">
        <v>21</v>
      </c>
      <c r="G15" s="22" t="s">
        <v>20</v>
      </c>
      <c r="H15" s="22">
        <v>2</v>
      </c>
      <c r="I15" s="22" t="s">
        <v>21</v>
      </c>
      <c r="J15" s="22" t="s">
        <v>20</v>
      </c>
      <c r="K15" s="22">
        <v>2</v>
      </c>
      <c r="L15" s="22" t="s">
        <v>22</v>
      </c>
      <c r="M15" s="22" t="s">
        <v>20</v>
      </c>
      <c r="N15" s="23"/>
      <c r="O15" s="22" t="s">
        <v>22</v>
      </c>
      <c r="P15" s="23" t="s">
        <v>20</v>
      </c>
      <c r="Q15" s="23"/>
      <c r="R15" s="23" t="s">
        <v>23</v>
      </c>
      <c r="S15" s="23" t="s">
        <v>20</v>
      </c>
      <c r="T15" s="23">
        <v>1</v>
      </c>
      <c r="U15" s="23" t="s">
        <v>23</v>
      </c>
      <c r="V15" s="23" t="s">
        <v>20</v>
      </c>
      <c r="W15" s="23">
        <v>1</v>
      </c>
      <c r="X15" s="23" t="s">
        <v>23</v>
      </c>
      <c r="Y15" s="23" t="s">
        <v>20</v>
      </c>
      <c r="Z15" s="23">
        <v>1</v>
      </c>
      <c r="AA15" s="23" t="s">
        <v>23</v>
      </c>
      <c r="AB15" s="23" t="s">
        <v>20</v>
      </c>
      <c r="AC15" s="26"/>
      <c r="AD15" s="22" t="s">
        <v>22</v>
      </c>
      <c r="AE15" s="23" t="s">
        <v>20</v>
      </c>
      <c r="AF15" s="23">
        <v>1</v>
      </c>
      <c r="AG15" s="23" t="s">
        <v>23</v>
      </c>
      <c r="AH15" s="23" t="s">
        <v>20</v>
      </c>
      <c r="AI15" s="23"/>
      <c r="AJ15" s="23" t="s">
        <v>31</v>
      </c>
      <c r="AK15" s="26" t="s">
        <v>24</v>
      </c>
      <c r="AL15" s="25"/>
      <c r="AM15" s="22"/>
      <c r="AN15" s="23" t="s">
        <v>20</v>
      </c>
      <c r="AO15" s="23">
        <v>1</v>
      </c>
      <c r="AP15" s="23" t="s">
        <v>23</v>
      </c>
      <c r="AQ15" s="24" t="s">
        <v>24</v>
      </c>
      <c r="AR15" s="22"/>
      <c r="AS15" s="22"/>
      <c r="AT15" s="22" t="s">
        <v>20</v>
      </c>
      <c r="AU15" s="22"/>
      <c r="AV15" s="23" t="s">
        <v>25</v>
      </c>
      <c r="AW15" s="22" t="s">
        <v>20</v>
      </c>
      <c r="AX15" s="22"/>
      <c r="AY15" s="23" t="s">
        <v>25</v>
      </c>
      <c r="AZ15" s="24" t="s">
        <v>24</v>
      </c>
      <c r="BA15" s="23"/>
      <c r="BB15" s="23"/>
      <c r="BC15" s="24" t="s">
        <v>24</v>
      </c>
      <c r="BD15" s="23"/>
      <c r="BE15" s="22"/>
      <c r="BF15" s="31" t="s">
        <v>20</v>
      </c>
      <c r="BG15" s="31"/>
      <c r="BH15" s="23" t="s">
        <v>31</v>
      </c>
      <c r="BI15" s="25" t="s">
        <v>20</v>
      </c>
      <c r="BJ15" s="23">
        <v>1</v>
      </c>
      <c r="BK15" s="23" t="s">
        <v>31</v>
      </c>
      <c r="BL15" s="31" t="s">
        <v>20</v>
      </c>
      <c r="BM15" s="25"/>
      <c r="BN15" s="25"/>
      <c r="BO15" s="23" t="s">
        <v>20</v>
      </c>
      <c r="BP15" s="23">
        <v>1</v>
      </c>
      <c r="BQ15" s="22" t="s">
        <v>22</v>
      </c>
      <c r="BR15" s="23" t="s">
        <v>20</v>
      </c>
      <c r="BS15" s="23">
        <v>1</v>
      </c>
      <c r="BT15" s="23" t="s">
        <v>31</v>
      </c>
      <c r="BU15" s="23" t="s">
        <v>20</v>
      </c>
      <c r="BV15" s="23"/>
      <c r="BW15" s="23" t="s">
        <v>41</v>
      </c>
      <c r="BX15" s="23" t="s">
        <v>20</v>
      </c>
      <c r="BY15" s="23"/>
      <c r="BZ15" s="23" t="s">
        <v>25</v>
      </c>
      <c r="CA15" s="24" t="s">
        <v>24</v>
      </c>
      <c r="CB15" s="23"/>
      <c r="CC15" s="23"/>
      <c r="CD15" s="23"/>
      <c r="CE15" s="22"/>
      <c r="CF15" s="23"/>
      <c r="CG15" s="23"/>
      <c r="CH15" s="23"/>
      <c r="CI15" s="22"/>
      <c r="CJ15" s="23"/>
      <c r="CK15" s="23"/>
      <c r="CL15" s="22"/>
      <c r="CM15" s="23"/>
      <c r="CN15" s="23"/>
      <c r="CO15" s="35"/>
      <c r="CP15" s="35"/>
      <c r="CQ15" s="35"/>
      <c r="CR15" s="35"/>
      <c r="CS15" s="27">
        <f t="shared" si="0"/>
        <v>0</v>
      </c>
      <c r="CT15" s="27">
        <f t="shared" si="1"/>
        <v>21</v>
      </c>
      <c r="CU15" s="27">
        <f t="shared" si="2"/>
        <v>13</v>
      </c>
      <c r="CV15" s="28">
        <v>900</v>
      </c>
      <c r="CW15" s="27">
        <f t="shared" si="3"/>
        <v>18900</v>
      </c>
      <c r="CX15" s="27">
        <f t="shared" si="4"/>
        <v>1462.5</v>
      </c>
      <c r="CY15" s="27">
        <f t="shared" si="5"/>
        <v>20362.5</v>
      </c>
      <c r="CZ15" s="33"/>
      <c r="DA15" s="13"/>
    </row>
    <row r="16" spans="1:105" ht="29.45" customHeight="1" thickBot="1" x14ac:dyDescent="0.3">
      <c r="A16" s="19">
        <v>12</v>
      </c>
      <c r="B16" s="20" t="s">
        <v>48</v>
      </c>
      <c r="C16" s="30" t="s">
        <v>35</v>
      </c>
      <c r="D16" s="24" t="s">
        <v>24</v>
      </c>
      <c r="E16" s="22"/>
      <c r="F16" s="22"/>
      <c r="G16" s="22" t="s">
        <v>20</v>
      </c>
      <c r="H16" s="22">
        <v>1</v>
      </c>
      <c r="I16" s="22" t="s">
        <v>37</v>
      </c>
      <c r="J16" s="24" t="s">
        <v>24</v>
      </c>
      <c r="K16" s="22"/>
      <c r="L16" s="22"/>
      <c r="M16" s="22" t="s">
        <v>20</v>
      </c>
      <c r="N16" s="23">
        <v>4</v>
      </c>
      <c r="O16" s="22" t="s">
        <v>23</v>
      </c>
      <c r="P16" s="23" t="s">
        <v>20</v>
      </c>
      <c r="Q16" s="23"/>
      <c r="R16" s="23" t="s">
        <v>23</v>
      </c>
      <c r="S16" s="26" t="s">
        <v>24</v>
      </c>
      <c r="T16" s="23"/>
      <c r="U16" s="23"/>
      <c r="V16" s="23" t="s">
        <v>20</v>
      </c>
      <c r="W16" s="23"/>
      <c r="X16" s="22" t="s">
        <v>22</v>
      </c>
      <c r="Y16" s="23" t="s">
        <v>20</v>
      </c>
      <c r="Z16" s="23"/>
      <c r="AA16" s="22" t="s">
        <v>22</v>
      </c>
      <c r="AB16" s="23" t="s">
        <v>20</v>
      </c>
      <c r="AC16" s="26"/>
      <c r="AD16" s="23" t="s">
        <v>31</v>
      </c>
      <c r="AE16" s="23" t="s">
        <v>20</v>
      </c>
      <c r="AF16" s="23">
        <v>2</v>
      </c>
      <c r="AG16" s="23" t="s">
        <v>31</v>
      </c>
      <c r="AH16" s="23" t="s">
        <v>20</v>
      </c>
      <c r="AI16" s="23"/>
      <c r="AJ16" s="23" t="s">
        <v>25</v>
      </c>
      <c r="AK16" s="23" t="s">
        <v>20</v>
      </c>
      <c r="AL16" s="25">
        <v>1</v>
      </c>
      <c r="AM16" s="23" t="s">
        <v>23</v>
      </c>
      <c r="AN16" s="23" t="s">
        <v>20</v>
      </c>
      <c r="AO16" s="23"/>
      <c r="AP16" s="23" t="s">
        <v>25</v>
      </c>
      <c r="AQ16" s="24" t="s">
        <v>24</v>
      </c>
      <c r="AR16" s="22"/>
      <c r="AS16" s="22"/>
      <c r="AT16" s="22" t="s">
        <v>20</v>
      </c>
      <c r="AU16" s="22"/>
      <c r="AV16" s="23" t="s">
        <v>25</v>
      </c>
      <c r="AW16" s="22" t="s">
        <v>20</v>
      </c>
      <c r="AX16" s="22"/>
      <c r="AY16" s="23" t="s">
        <v>25</v>
      </c>
      <c r="AZ16" s="24" t="s">
        <v>24</v>
      </c>
      <c r="BA16" s="23"/>
      <c r="BB16" s="23"/>
      <c r="BC16" s="24" t="s">
        <v>24</v>
      </c>
      <c r="BD16" s="23"/>
      <c r="BE16" s="22"/>
      <c r="BF16" s="31" t="s">
        <v>20</v>
      </c>
      <c r="BG16" s="31"/>
      <c r="BH16" s="23" t="s">
        <v>31</v>
      </c>
      <c r="BI16" s="25" t="s">
        <v>20</v>
      </c>
      <c r="BJ16" s="23">
        <v>1</v>
      </c>
      <c r="BK16" s="23" t="s">
        <v>31</v>
      </c>
      <c r="BL16" s="31" t="s">
        <v>20</v>
      </c>
      <c r="BM16" s="25">
        <v>2</v>
      </c>
      <c r="BN16" s="25"/>
      <c r="BO16" s="23" t="s">
        <v>20</v>
      </c>
      <c r="BP16" s="23">
        <v>1</v>
      </c>
      <c r="BQ16" s="23" t="s">
        <v>31</v>
      </c>
      <c r="BR16" s="23" t="s">
        <v>20</v>
      </c>
      <c r="BS16" s="23">
        <v>1</v>
      </c>
      <c r="BT16" s="23" t="s">
        <v>31</v>
      </c>
      <c r="BU16" s="23" t="s">
        <v>33</v>
      </c>
      <c r="BV16" s="23"/>
      <c r="BW16" s="23" t="s">
        <v>22</v>
      </c>
      <c r="BX16" s="23" t="s">
        <v>20</v>
      </c>
      <c r="BY16" s="23"/>
      <c r="BZ16" s="23" t="s">
        <v>25</v>
      </c>
      <c r="CA16" s="24" t="s">
        <v>24</v>
      </c>
      <c r="CB16" s="23"/>
      <c r="CC16" s="23"/>
      <c r="CD16" s="23"/>
      <c r="CE16" s="22"/>
      <c r="CF16" s="23"/>
      <c r="CG16" s="23"/>
      <c r="CH16" s="23"/>
      <c r="CI16" s="22"/>
      <c r="CJ16" s="23"/>
      <c r="CK16" s="23"/>
      <c r="CL16" s="22"/>
      <c r="CM16" s="23"/>
      <c r="CN16" s="23"/>
      <c r="CO16" s="35"/>
      <c r="CP16" s="35"/>
      <c r="CQ16" s="35"/>
      <c r="CR16" s="35"/>
      <c r="CS16" s="27">
        <f t="shared" si="0"/>
        <v>0</v>
      </c>
      <c r="CT16" s="27">
        <f t="shared" si="1"/>
        <v>19</v>
      </c>
      <c r="CU16" s="27">
        <f t="shared" si="2"/>
        <v>13</v>
      </c>
      <c r="CV16" s="28">
        <v>700</v>
      </c>
      <c r="CW16" s="27">
        <f t="shared" si="3"/>
        <v>13300</v>
      </c>
      <c r="CX16" s="27">
        <f t="shared" si="4"/>
        <v>1137.5</v>
      </c>
      <c r="CY16" s="27">
        <f t="shared" si="5"/>
        <v>14437.5</v>
      </c>
      <c r="CZ16" s="33"/>
      <c r="DA16" s="13"/>
    </row>
    <row r="17" spans="1:105" ht="29.45" customHeight="1" thickBot="1" x14ac:dyDescent="0.3">
      <c r="A17" s="19">
        <v>13</v>
      </c>
      <c r="B17" s="20" t="s">
        <v>49</v>
      </c>
      <c r="C17" s="30" t="s">
        <v>19</v>
      </c>
      <c r="D17" s="22" t="s">
        <v>20</v>
      </c>
      <c r="E17" s="22">
        <v>1</v>
      </c>
      <c r="F17" s="22" t="s">
        <v>21</v>
      </c>
      <c r="G17" s="22" t="s">
        <v>20</v>
      </c>
      <c r="H17" s="22">
        <v>2</v>
      </c>
      <c r="I17" s="22" t="s">
        <v>21</v>
      </c>
      <c r="J17" s="22" t="s">
        <v>20</v>
      </c>
      <c r="K17" s="22">
        <v>2</v>
      </c>
      <c r="L17" s="22" t="s">
        <v>22</v>
      </c>
      <c r="M17" s="22" t="s">
        <v>20</v>
      </c>
      <c r="N17" s="23"/>
      <c r="O17" s="22" t="s">
        <v>22</v>
      </c>
      <c r="P17" s="23" t="s">
        <v>20</v>
      </c>
      <c r="Q17" s="23"/>
      <c r="R17" s="22" t="s">
        <v>22</v>
      </c>
      <c r="S17" s="26" t="s">
        <v>24</v>
      </c>
      <c r="T17" s="23"/>
      <c r="U17" s="22"/>
      <c r="V17" s="23" t="s">
        <v>20</v>
      </c>
      <c r="W17" s="23"/>
      <c r="X17" s="22" t="s">
        <v>22</v>
      </c>
      <c r="Y17" s="23" t="s">
        <v>20</v>
      </c>
      <c r="Z17" s="23"/>
      <c r="AA17" s="22" t="s">
        <v>22</v>
      </c>
      <c r="AB17" s="23" t="s">
        <v>20</v>
      </c>
      <c r="AC17" s="26"/>
      <c r="AD17" s="22" t="s">
        <v>22</v>
      </c>
      <c r="AE17" s="23" t="s">
        <v>20</v>
      </c>
      <c r="AF17" s="23">
        <v>2</v>
      </c>
      <c r="AG17" s="22" t="s">
        <v>22</v>
      </c>
      <c r="AH17" s="23" t="s">
        <v>20</v>
      </c>
      <c r="AI17" s="23"/>
      <c r="AJ17" s="23" t="s">
        <v>31</v>
      </c>
      <c r="AK17" s="23" t="s">
        <v>20</v>
      </c>
      <c r="AL17" s="25">
        <v>2</v>
      </c>
      <c r="AM17" s="23" t="s">
        <v>25</v>
      </c>
      <c r="AN17" s="23" t="s">
        <v>20</v>
      </c>
      <c r="AO17" s="23"/>
      <c r="AP17" s="23" t="s">
        <v>25</v>
      </c>
      <c r="AQ17" s="24" t="s">
        <v>24</v>
      </c>
      <c r="AR17" s="22"/>
      <c r="AS17" s="22"/>
      <c r="AT17" s="22" t="s">
        <v>20</v>
      </c>
      <c r="AU17" s="22"/>
      <c r="AV17" s="23" t="s">
        <v>25</v>
      </c>
      <c r="AW17" s="22" t="s">
        <v>20</v>
      </c>
      <c r="AX17" s="22"/>
      <c r="AY17" s="23" t="s">
        <v>25</v>
      </c>
      <c r="AZ17" s="24" t="s">
        <v>24</v>
      </c>
      <c r="BA17" s="23"/>
      <c r="BB17" s="23"/>
      <c r="BC17" s="24" t="s">
        <v>24</v>
      </c>
      <c r="BD17" s="23"/>
      <c r="BE17" s="22"/>
      <c r="BF17" s="31" t="s">
        <v>20</v>
      </c>
      <c r="BG17" s="31"/>
      <c r="BH17" s="23" t="s">
        <v>31</v>
      </c>
      <c r="BI17" s="25" t="s">
        <v>20</v>
      </c>
      <c r="BJ17" s="23">
        <v>1</v>
      </c>
      <c r="BK17" s="23" t="s">
        <v>31</v>
      </c>
      <c r="BL17" s="31" t="s">
        <v>20</v>
      </c>
      <c r="BM17" s="25">
        <v>2</v>
      </c>
      <c r="BN17" s="25"/>
      <c r="BO17" s="23" t="s">
        <v>20</v>
      </c>
      <c r="BP17" s="23">
        <v>1</v>
      </c>
      <c r="BQ17" s="23" t="s">
        <v>31</v>
      </c>
      <c r="BR17" s="23" t="s">
        <v>20</v>
      </c>
      <c r="BS17" s="23">
        <v>1</v>
      </c>
      <c r="BT17" s="23" t="s">
        <v>22</v>
      </c>
      <c r="BU17" s="23" t="s">
        <v>33</v>
      </c>
      <c r="BV17" s="23"/>
      <c r="BW17" s="23" t="s">
        <v>22</v>
      </c>
      <c r="BX17" s="23" t="s">
        <v>20</v>
      </c>
      <c r="BY17" s="23"/>
      <c r="BZ17" s="23" t="s">
        <v>22</v>
      </c>
      <c r="CA17" s="24" t="s">
        <v>24</v>
      </c>
      <c r="CB17" s="23"/>
      <c r="CC17" s="23"/>
      <c r="CD17" s="23"/>
      <c r="CE17" s="22"/>
      <c r="CF17" s="23"/>
      <c r="CG17" s="23"/>
      <c r="CH17" s="23"/>
      <c r="CI17" s="22"/>
      <c r="CJ17" s="23"/>
      <c r="CK17" s="23"/>
      <c r="CL17" s="22"/>
      <c r="CM17" s="23"/>
      <c r="CN17" s="23"/>
      <c r="CO17" s="35"/>
      <c r="CP17" s="35"/>
      <c r="CQ17" s="35"/>
      <c r="CR17" s="35"/>
      <c r="CS17" s="27">
        <f t="shared" si="0"/>
        <v>0</v>
      </c>
      <c r="CT17" s="27">
        <f t="shared" si="1"/>
        <v>21</v>
      </c>
      <c r="CU17" s="27">
        <f t="shared" si="2"/>
        <v>14</v>
      </c>
      <c r="CV17" s="28">
        <v>900</v>
      </c>
      <c r="CW17" s="27">
        <f t="shared" si="3"/>
        <v>18900</v>
      </c>
      <c r="CX17" s="27">
        <f t="shared" si="4"/>
        <v>1575</v>
      </c>
      <c r="CY17" s="27">
        <f t="shared" si="5"/>
        <v>20475</v>
      </c>
      <c r="CZ17" s="33"/>
      <c r="DA17" s="13"/>
    </row>
    <row r="18" spans="1:105" ht="29.45" customHeight="1" thickBot="1" x14ac:dyDescent="0.3">
      <c r="A18" s="19">
        <v>14</v>
      </c>
      <c r="B18" s="20" t="s">
        <v>50</v>
      </c>
      <c r="C18" s="30" t="s">
        <v>28</v>
      </c>
      <c r="D18" s="22" t="s">
        <v>20</v>
      </c>
      <c r="E18" s="22">
        <v>1</v>
      </c>
      <c r="F18" s="22" t="s">
        <v>46</v>
      </c>
      <c r="G18" s="22" t="s">
        <v>20</v>
      </c>
      <c r="H18" s="22">
        <v>2</v>
      </c>
      <c r="I18" s="22" t="s">
        <v>21</v>
      </c>
      <c r="J18" s="24" t="s">
        <v>24</v>
      </c>
      <c r="K18" s="22"/>
      <c r="L18" s="22"/>
      <c r="M18" s="22" t="s">
        <v>20</v>
      </c>
      <c r="N18" s="23"/>
      <c r="O18" s="22" t="s">
        <v>22</v>
      </c>
      <c r="P18" s="23" t="s">
        <v>20</v>
      </c>
      <c r="Q18" s="23"/>
      <c r="R18" s="22" t="s">
        <v>22</v>
      </c>
      <c r="S18" s="23" t="s">
        <v>20</v>
      </c>
      <c r="T18" s="23"/>
      <c r="U18" s="22" t="s">
        <v>22</v>
      </c>
      <c r="V18" s="23" t="s">
        <v>20</v>
      </c>
      <c r="W18" s="23"/>
      <c r="X18" s="22" t="s">
        <v>22</v>
      </c>
      <c r="Y18" s="23" t="s">
        <v>20</v>
      </c>
      <c r="Z18" s="23"/>
      <c r="AA18" s="22" t="s">
        <v>22</v>
      </c>
      <c r="AB18" s="23" t="s">
        <v>20</v>
      </c>
      <c r="AC18" s="26"/>
      <c r="AD18" s="22" t="s">
        <v>22</v>
      </c>
      <c r="AE18" s="23" t="s">
        <v>20</v>
      </c>
      <c r="AF18" s="23">
        <v>2</v>
      </c>
      <c r="AG18" s="22" t="s">
        <v>22</v>
      </c>
      <c r="AH18" s="23" t="s">
        <v>20</v>
      </c>
      <c r="AI18" s="23"/>
      <c r="AJ18" s="23" t="s">
        <v>31</v>
      </c>
      <c r="AK18" s="23" t="s">
        <v>20</v>
      </c>
      <c r="AL18" s="25">
        <v>2</v>
      </c>
      <c r="AM18" s="23" t="s">
        <v>25</v>
      </c>
      <c r="AN18" s="23" t="s">
        <v>20</v>
      </c>
      <c r="AO18" s="23"/>
      <c r="AP18" s="23" t="s">
        <v>25</v>
      </c>
      <c r="AQ18" s="24" t="s">
        <v>24</v>
      </c>
      <c r="AR18" s="22"/>
      <c r="AS18" s="22"/>
      <c r="AT18" s="22" t="s">
        <v>20</v>
      </c>
      <c r="AU18" s="22"/>
      <c r="AV18" s="23" t="s">
        <v>25</v>
      </c>
      <c r="AW18" s="22" t="s">
        <v>20</v>
      </c>
      <c r="AX18" s="22"/>
      <c r="AY18" s="23" t="s">
        <v>31</v>
      </c>
      <c r="AZ18" s="24" t="s">
        <v>24</v>
      </c>
      <c r="BA18" s="23"/>
      <c r="BB18" s="23"/>
      <c r="BC18" s="24" t="s">
        <v>24</v>
      </c>
      <c r="BD18" s="23"/>
      <c r="BE18" s="22"/>
      <c r="BF18" s="24" t="s">
        <v>24</v>
      </c>
      <c r="BG18" s="24"/>
      <c r="BH18" s="24"/>
      <c r="BI18" s="25" t="s">
        <v>20</v>
      </c>
      <c r="BJ18" s="23">
        <v>1</v>
      </c>
      <c r="BK18" s="23" t="s">
        <v>31</v>
      </c>
      <c r="BL18" s="31" t="s">
        <v>20</v>
      </c>
      <c r="BM18" s="25">
        <v>2</v>
      </c>
      <c r="BN18" s="25"/>
      <c r="BO18" s="23" t="s">
        <v>20</v>
      </c>
      <c r="BP18" s="23">
        <v>1</v>
      </c>
      <c r="BQ18" s="23" t="s">
        <v>31</v>
      </c>
      <c r="BR18" s="23" t="s">
        <v>20</v>
      </c>
      <c r="BS18" s="23"/>
      <c r="BT18" s="23" t="s">
        <v>31</v>
      </c>
      <c r="BU18" s="23" t="s">
        <v>51</v>
      </c>
      <c r="BV18" s="23"/>
      <c r="BW18" s="23" t="s">
        <v>31</v>
      </c>
      <c r="BX18" s="23" t="s">
        <v>20</v>
      </c>
      <c r="BY18" s="23"/>
      <c r="BZ18" s="23" t="s">
        <v>31</v>
      </c>
      <c r="CA18" s="24" t="s">
        <v>24</v>
      </c>
      <c r="CB18" s="23"/>
      <c r="CC18" s="23"/>
      <c r="CD18" s="23"/>
      <c r="CE18" s="22"/>
      <c r="CF18" s="23"/>
      <c r="CG18" s="23"/>
      <c r="CH18" s="23"/>
      <c r="CI18" s="22"/>
      <c r="CJ18" s="23"/>
      <c r="CK18" s="23"/>
      <c r="CL18" s="22"/>
      <c r="CM18" s="23"/>
      <c r="CN18" s="23"/>
      <c r="CO18" s="35"/>
      <c r="CP18" s="35"/>
      <c r="CQ18" s="35"/>
      <c r="CR18" s="35"/>
      <c r="CS18" s="27">
        <f t="shared" si="0"/>
        <v>1</v>
      </c>
      <c r="CT18" s="27">
        <f t="shared" si="1"/>
        <v>19</v>
      </c>
      <c r="CU18" s="27">
        <f t="shared" si="2"/>
        <v>11</v>
      </c>
      <c r="CV18" s="28">
        <v>850</v>
      </c>
      <c r="CW18" s="27">
        <f t="shared" si="3"/>
        <v>16150</v>
      </c>
      <c r="CX18" s="27">
        <f t="shared" si="4"/>
        <v>1168.75</v>
      </c>
      <c r="CY18" s="27">
        <f t="shared" si="5"/>
        <v>17318.75</v>
      </c>
      <c r="CZ18" s="33"/>
      <c r="DA18" s="13"/>
    </row>
    <row r="19" spans="1:105" ht="29.45" customHeight="1" thickBot="1" x14ac:dyDescent="0.3">
      <c r="A19" s="19">
        <v>15</v>
      </c>
      <c r="B19" s="20" t="s">
        <v>52</v>
      </c>
      <c r="C19" s="36" t="s">
        <v>35</v>
      </c>
      <c r="D19" s="22" t="s">
        <v>20</v>
      </c>
      <c r="E19" s="22">
        <v>2</v>
      </c>
      <c r="F19" s="22" t="s">
        <v>37</v>
      </c>
      <c r="G19" s="22" t="s">
        <v>20</v>
      </c>
      <c r="H19" s="22"/>
      <c r="I19" s="22" t="s">
        <v>37</v>
      </c>
      <c r="J19" s="22" t="s">
        <v>20</v>
      </c>
      <c r="K19" s="22">
        <v>2</v>
      </c>
      <c r="L19" s="22" t="s">
        <v>22</v>
      </c>
      <c r="M19" s="22" t="s">
        <v>20</v>
      </c>
      <c r="N19" s="23">
        <v>4</v>
      </c>
      <c r="O19" s="22" t="s">
        <v>23</v>
      </c>
      <c r="P19" s="23" t="s">
        <v>20</v>
      </c>
      <c r="Q19" s="23"/>
      <c r="R19" s="23" t="s">
        <v>23</v>
      </c>
      <c r="S19" s="23" t="s">
        <v>20</v>
      </c>
      <c r="T19" s="23">
        <v>1</v>
      </c>
      <c r="U19" s="23" t="s">
        <v>23</v>
      </c>
      <c r="V19" s="23" t="s">
        <v>20</v>
      </c>
      <c r="W19" s="23">
        <v>2</v>
      </c>
      <c r="X19" s="22" t="s">
        <v>26</v>
      </c>
      <c r="Y19" s="23" t="s">
        <v>20</v>
      </c>
      <c r="Z19" s="23">
        <v>2</v>
      </c>
      <c r="AA19" s="22" t="s">
        <v>26</v>
      </c>
      <c r="AB19" s="23" t="s">
        <v>20</v>
      </c>
      <c r="AC19" s="26"/>
      <c r="AD19" s="22" t="s">
        <v>22</v>
      </c>
      <c r="AE19" s="23" t="s">
        <v>20</v>
      </c>
      <c r="AF19" s="23">
        <v>1</v>
      </c>
      <c r="AG19" s="23" t="s">
        <v>23</v>
      </c>
      <c r="AH19" s="23" t="s">
        <v>20</v>
      </c>
      <c r="AI19" s="23"/>
      <c r="AJ19" s="23" t="s">
        <v>31</v>
      </c>
      <c r="AK19" s="26" t="s">
        <v>24</v>
      </c>
      <c r="AL19" s="25"/>
      <c r="AM19" s="22"/>
      <c r="AN19" s="23" t="s">
        <v>20</v>
      </c>
      <c r="AO19" s="23">
        <v>1</v>
      </c>
      <c r="AP19" s="23" t="s">
        <v>23</v>
      </c>
      <c r="AQ19" s="24" t="s">
        <v>24</v>
      </c>
      <c r="AR19" s="22"/>
      <c r="AS19" s="22"/>
      <c r="AT19" s="22" t="s">
        <v>20</v>
      </c>
      <c r="AU19" s="22"/>
      <c r="AV19" s="23" t="s">
        <v>25</v>
      </c>
      <c r="AW19" s="22" t="s">
        <v>20</v>
      </c>
      <c r="AX19" s="22"/>
      <c r="AY19" s="23" t="s">
        <v>25</v>
      </c>
      <c r="AZ19" s="24" t="s">
        <v>24</v>
      </c>
      <c r="BA19" s="23"/>
      <c r="BB19" s="23"/>
      <c r="BC19" s="24" t="s">
        <v>24</v>
      </c>
      <c r="BD19" s="23"/>
      <c r="BE19" s="22"/>
      <c r="BF19" s="31" t="s">
        <v>20</v>
      </c>
      <c r="BG19" s="31"/>
      <c r="BH19" s="23" t="s">
        <v>31</v>
      </c>
      <c r="BI19" s="25" t="s">
        <v>20</v>
      </c>
      <c r="BJ19" s="23">
        <v>1</v>
      </c>
      <c r="BK19" s="23" t="s">
        <v>31</v>
      </c>
      <c r="BL19" s="31" t="s">
        <v>20</v>
      </c>
      <c r="BM19" s="25"/>
      <c r="BN19" s="25"/>
      <c r="BO19" s="23" t="s">
        <v>20</v>
      </c>
      <c r="BP19" s="23">
        <v>1</v>
      </c>
      <c r="BQ19" s="22" t="s">
        <v>22</v>
      </c>
      <c r="BR19" s="24" t="s">
        <v>24</v>
      </c>
      <c r="BS19" s="23"/>
      <c r="BT19" s="23"/>
      <c r="BU19" s="23" t="s">
        <v>20</v>
      </c>
      <c r="BV19" s="23"/>
      <c r="BW19" s="23" t="s">
        <v>41</v>
      </c>
      <c r="BX19" s="23" t="s">
        <v>20</v>
      </c>
      <c r="BY19" s="23"/>
      <c r="BZ19" s="23" t="s">
        <v>31</v>
      </c>
      <c r="CA19" s="24" t="s">
        <v>24</v>
      </c>
      <c r="CB19" s="23"/>
      <c r="CC19" s="23"/>
      <c r="CD19" s="23"/>
      <c r="CE19" s="22"/>
      <c r="CF19" s="23"/>
      <c r="CG19" s="23"/>
      <c r="CH19" s="23"/>
      <c r="CI19" s="22"/>
      <c r="CJ19" s="23"/>
      <c r="CK19" s="23"/>
      <c r="CL19" s="22"/>
      <c r="CM19" s="23"/>
      <c r="CN19" s="23"/>
      <c r="CO19" s="35"/>
      <c r="CP19" s="35"/>
      <c r="CQ19" s="35"/>
      <c r="CR19" s="35"/>
      <c r="CS19" s="27">
        <f t="shared" si="0"/>
        <v>0</v>
      </c>
      <c r="CT19" s="27">
        <f t="shared" si="1"/>
        <v>20</v>
      </c>
      <c r="CU19" s="27">
        <f t="shared" si="2"/>
        <v>17</v>
      </c>
      <c r="CV19" s="28">
        <v>600</v>
      </c>
      <c r="CW19" s="27">
        <f t="shared" si="3"/>
        <v>12000</v>
      </c>
      <c r="CX19" s="27">
        <f t="shared" si="4"/>
        <v>1275</v>
      </c>
      <c r="CY19" s="27">
        <f t="shared" si="5"/>
        <v>13275</v>
      </c>
      <c r="CZ19" s="33"/>
      <c r="DA19" s="13"/>
    </row>
    <row r="20" spans="1:105" ht="29.45" customHeight="1" thickBot="1" x14ac:dyDescent="0.3">
      <c r="A20" s="19">
        <v>16</v>
      </c>
      <c r="B20" s="20" t="s">
        <v>42</v>
      </c>
      <c r="C20" s="36" t="s">
        <v>35</v>
      </c>
      <c r="D20" s="22" t="s">
        <v>20</v>
      </c>
      <c r="E20" s="22"/>
      <c r="F20" s="22" t="s">
        <v>37</v>
      </c>
      <c r="G20" s="22" t="s">
        <v>20</v>
      </c>
      <c r="H20" s="22"/>
      <c r="I20" s="22" t="s">
        <v>29</v>
      </c>
      <c r="J20" s="22" t="s">
        <v>20</v>
      </c>
      <c r="K20" s="23"/>
      <c r="L20" s="23" t="s">
        <v>29</v>
      </c>
      <c r="M20" s="22" t="s">
        <v>20</v>
      </c>
      <c r="N20" s="23"/>
      <c r="O20" s="22" t="s">
        <v>30</v>
      </c>
      <c r="P20" s="22" t="s">
        <v>20</v>
      </c>
      <c r="Q20" s="23"/>
      <c r="R20" s="22" t="s">
        <v>25</v>
      </c>
      <c r="S20" s="22" t="s">
        <v>20</v>
      </c>
      <c r="T20" s="23"/>
      <c r="U20" s="22" t="s">
        <v>25</v>
      </c>
      <c r="V20" s="22" t="s">
        <v>20</v>
      </c>
      <c r="W20" s="23">
        <v>1</v>
      </c>
      <c r="X20" s="23" t="s">
        <v>23</v>
      </c>
      <c r="Y20" s="23" t="s">
        <v>20</v>
      </c>
      <c r="Z20" s="23">
        <v>1</v>
      </c>
      <c r="AA20" s="23" t="s">
        <v>23</v>
      </c>
      <c r="AB20" s="23" t="s">
        <v>20</v>
      </c>
      <c r="AC20" s="23"/>
      <c r="AD20" s="23" t="s">
        <v>31</v>
      </c>
      <c r="AE20" s="23" t="s">
        <v>20</v>
      </c>
      <c r="AF20" s="23">
        <v>2</v>
      </c>
      <c r="AG20" s="23" t="s">
        <v>31</v>
      </c>
      <c r="AH20" s="22" t="s">
        <v>20</v>
      </c>
      <c r="AI20" s="23"/>
      <c r="AJ20" s="23" t="s">
        <v>25</v>
      </c>
      <c r="AK20" s="26" t="s">
        <v>24</v>
      </c>
      <c r="AL20" s="22"/>
      <c r="AM20" s="23"/>
      <c r="AN20" s="26" t="s">
        <v>24</v>
      </c>
      <c r="AO20" s="22"/>
      <c r="AP20" s="22"/>
      <c r="AQ20" s="24" t="s">
        <v>24</v>
      </c>
      <c r="AR20" s="23"/>
      <c r="AS20" s="22"/>
      <c r="AT20" s="24" t="s">
        <v>24</v>
      </c>
      <c r="AU20" s="23"/>
      <c r="AV20" s="22"/>
      <c r="AW20" s="24" t="s">
        <v>24</v>
      </c>
      <c r="AX20" s="23"/>
      <c r="AY20" s="23"/>
      <c r="AZ20" s="24" t="s">
        <v>24</v>
      </c>
      <c r="BA20" s="23"/>
      <c r="BB20" s="22"/>
      <c r="BC20" s="24" t="s">
        <v>24</v>
      </c>
      <c r="BD20" s="23"/>
      <c r="BE20" s="22"/>
      <c r="BF20" s="31" t="s">
        <v>20</v>
      </c>
      <c r="BG20" s="31"/>
      <c r="BH20" s="23" t="s">
        <v>31</v>
      </c>
      <c r="BI20" s="25" t="s">
        <v>20</v>
      </c>
      <c r="BJ20" s="23">
        <v>1</v>
      </c>
      <c r="BK20" s="23" t="s">
        <v>31</v>
      </c>
      <c r="BL20" s="31" t="s">
        <v>20</v>
      </c>
      <c r="BM20" s="25"/>
      <c r="BN20" s="25"/>
      <c r="BO20" s="23" t="s">
        <v>20</v>
      </c>
      <c r="BP20" s="22">
        <v>1</v>
      </c>
      <c r="BQ20" s="23" t="s">
        <v>31</v>
      </c>
      <c r="BR20" s="23" t="s">
        <v>20</v>
      </c>
      <c r="BS20" s="22">
        <v>1</v>
      </c>
      <c r="BT20" s="23" t="s">
        <v>31</v>
      </c>
      <c r="BU20" s="23" t="s">
        <v>20</v>
      </c>
      <c r="BV20" s="26"/>
      <c r="BW20" s="23" t="s">
        <v>25</v>
      </c>
      <c r="BX20" s="23" t="s">
        <v>20</v>
      </c>
      <c r="BY20" s="23"/>
      <c r="BZ20" s="23" t="s">
        <v>25</v>
      </c>
      <c r="CA20" s="24" t="s">
        <v>24</v>
      </c>
      <c r="CB20" s="23"/>
      <c r="CC20" s="22"/>
      <c r="CD20" s="23"/>
      <c r="CE20" s="22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7">
        <f>COUNTIF(C20:CR20,"h")</f>
        <v>0</v>
      </c>
      <c r="CT20" s="27">
        <f>COUNTIF(D20:CR20,"P")</f>
        <v>18</v>
      </c>
      <c r="CU20" s="27">
        <f>SUM(D20:CR20)</f>
        <v>7</v>
      </c>
      <c r="CV20" s="28">
        <v>600</v>
      </c>
      <c r="CW20" s="27">
        <f>(CT20)*CV20+600</f>
        <v>11400</v>
      </c>
      <c r="CX20" s="27">
        <f>(CV20/8*CU20)</f>
        <v>525</v>
      </c>
      <c r="CY20" s="27">
        <f>CW20+CX20</f>
        <v>11925</v>
      </c>
      <c r="CZ20" s="33"/>
      <c r="DA20" s="10"/>
    </row>
    <row r="21" spans="1:105" ht="29.45" customHeight="1" thickBot="1" x14ac:dyDescent="0.3">
      <c r="A21" s="19">
        <v>17</v>
      </c>
      <c r="B21" s="20" t="s">
        <v>53</v>
      </c>
      <c r="C21" s="36" t="s">
        <v>19</v>
      </c>
      <c r="D21" s="24" t="s">
        <v>24</v>
      </c>
      <c r="E21" s="22"/>
      <c r="F21" s="22"/>
      <c r="G21" s="22" t="s">
        <v>20</v>
      </c>
      <c r="H21" s="22">
        <v>2</v>
      </c>
      <c r="I21" s="22" t="s">
        <v>21</v>
      </c>
      <c r="J21" s="22" t="s">
        <v>20</v>
      </c>
      <c r="K21" s="23">
        <v>2</v>
      </c>
      <c r="L21" s="22" t="s">
        <v>22</v>
      </c>
      <c r="M21" s="22" t="s">
        <v>20</v>
      </c>
      <c r="N21" s="23"/>
      <c r="O21" s="22" t="s">
        <v>22</v>
      </c>
      <c r="P21" s="22" t="s">
        <v>20</v>
      </c>
      <c r="Q21" s="23"/>
      <c r="R21" s="22" t="s">
        <v>22</v>
      </c>
      <c r="S21" s="22" t="s">
        <v>20</v>
      </c>
      <c r="T21" s="23"/>
      <c r="U21" s="22" t="s">
        <v>22</v>
      </c>
      <c r="V21" s="22" t="s">
        <v>20</v>
      </c>
      <c r="W21" s="23"/>
      <c r="X21" s="22" t="s">
        <v>22</v>
      </c>
      <c r="Y21" s="23" t="s">
        <v>20</v>
      </c>
      <c r="Z21" s="23"/>
      <c r="AA21" s="22" t="s">
        <v>22</v>
      </c>
      <c r="AB21" s="23" t="s">
        <v>20</v>
      </c>
      <c r="AC21" s="23"/>
      <c r="AD21" s="23" t="s">
        <v>25</v>
      </c>
      <c r="AE21" s="23" t="s">
        <v>20</v>
      </c>
      <c r="AF21" s="23">
        <v>2</v>
      </c>
      <c r="AG21" s="22" t="s">
        <v>25</v>
      </c>
      <c r="AH21" s="22" t="s">
        <v>20</v>
      </c>
      <c r="AI21" s="23"/>
      <c r="AJ21" s="23" t="s">
        <v>31</v>
      </c>
      <c r="AK21" s="22" t="s">
        <v>20</v>
      </c>
      <c r="AL21" s="22">
        <v>2</v>
      </c>
      <c r="AM21" s="23" t="s">
        <v>25</v>
      </c>
      <c r="AN21" s="22" t="s">
        <v>20</v>
      </c>
      <c r="AO21" s="22"/>
      <c r="AP21" s="23" t="s">
        <v>25</v>
      </c>
      <c r="AQ21" s="24" t="s">
        <v>24</v>
      </c>
      <c r="AR21" s="23"/>
      <c r="AS21" s="22"/>
      <c r="AT21" s="24" t="s">
        <v>24</v>
      </c>
      <c r="AU21" s="23"/>
      <c r="AV21" s="22"/>
      <c r="AW21" s="22" t="s">
        <v>20</v>
      </c>
      <c r="AX21" s="23"/>
      <c r="AY21" s="23" t="s">
        <v>25</v>
      </c>
      <c r="AZ21" s="24" t="s">
        <v>24</v>
      </c>
      <c r="BA21" s="23"/>
      <c r="BB21" s="22"/>
      <c r="BC21" s="24" t="s">
        <v>24</v>
      </c>
      <c r="BD21" s="23"/>
      <c r="BE21" s="22"/>
      <c r="BF21" s="31" t="s">
        <v>20</v>
      </c>
      <c r="BG21" s="31"/>
      <c r="BH21" s="23" t="s">
        <v>31</v>
      </c>
      <c r="BI21" s="25" t="s">
        <v>51</v>
      </c>
      <c r="BJ21" s="23">
        <v>1</v>
      </c>
      <c r="BK21" s="23" t="s">
        <v>31</v>
      </c>
      <c r="BL21" s="31" t="s">
        <v>20</v>
      </c>
      <c r="BM21" s="25">
        <v>2</v>
      </c>
      <c r="BN21" s="25"/>
      <c r="BO21" s="23" t="s">
        <v>20</v>
      </c>
      <c r="BP21" s="22">
        <v>1</v>
      </c>
      <c r="BQ21" s="23" t="s">
        <v>31</v>
      </c>
      <c r="BR21" s="23" t="s">
        <v>20</v>
      </c>
      <c r="BS21" s="22">
        <v>1</v>
      </c>
      <c r="BT21" s="23" t="s">
        <v>25</v>
      </c>
      <c r="BU21" s="23" t="s">
        <v>20</v>
      </c>
      <c r="BV21" s="26"/>
      <c r="BW21" s="23" t="s">
        <v>25</v>
      </c>
      <c r="BX21" s="23" t="s">
        <v>20</v>
      </c>
      <c r="BY21" s="23"/>
      <c r="BZ21" s="23" t="s">
        <v>25</v>
      </c>
      <c r="CA21" s="24" t="s">
        <v>24</v>
      </c>
      <c r="CB21" s="23"/>
      <c r="CC21" s="22"/>
      <c r="CD21" s="23"/>
      <c r="CE21" s="22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7">
        <f t="shared" ref="CS21:CS23" si="6">COUNTIF(C21:CR21,"h")</f>
        <v>1</v>
      </c>
      <c r="CT21" s="27">
        <f t="shared" ref="CT21:CT23" si="7">COUNTIF(D21:CR21,"P")</f>
        <v>19</v>
      </c>
      <c r="CU21" s="27">
        <f t="shared" ref="CU21:CU23" si="8">SUM(D21:CR21)</f>
        <v>13</v>
      </c>
      <c r="CV21" s="28">
        <v>850</v>
      </c>
      <c r="CW21" s="27">
        <f t="shared" ref="CW21:CW23" si="9">(CT21)*CV21+600</f>
        <v>16750</v>
      </c>
      <c r="CX21" s="27">
        <f t="shared" ref="CX21:CX23" si="10">(CV21/8*CU21)</f>
        <v>1381.25</v>
      </c>
      <c r="CY21" s="27">
        <f t="shared" ref="CY21:CY23" si="11">CW21+CX21</f>
        <v>18131.25</v>
      </c>
      <c r="CZ21" s="33"/>
      <c r="DA21" s="10"/>
    </row>
    <row r="22" spans="1:105" ht="29.45" customHeight="1" thickBot="1" x14ac:dyDescent="0.3">
      <c r="A22" s="19">
        <v>18</v>
      </c>
      <c r="B22" s="20" t="s">
        <v>54</v>
      </c>
      <c r="C22" s="36" t="s">
        <v>40</v>
      </c>
      <c r="D22" s="24"/>
      <c r="E22" s="22"/>
      <c r="F22" s="22"/>
      <c r="G22" s="22"/>
      <c r="H22" s="22"/>
      <c r="I22" s="22"/>
      <c r="J22" s="22"/>
      <c r="K22" s="23"/>
      <c r="L22" s="22"/>
      <c r="M22" s="22"/>
      <c r="N22" s="23"/>
      <c r="O22" s="22"/>
      <c r="P22" s="22"/>
      <c r="Q22" s="23"/>
      <c r="R22" s="22"/>
      <c r="S22" s="22"/>
      <c r="T22" s="23"/>
      <c r="U22" s="22"/>
      <c r="V22" s="22"/>
      <c r="W22" s="23"/>
      <c r="X22" s="22"/>
      <c r="Y22" s="23"/>
      <c r="Z22" s="23"/>
      <c r="AA22" s="22"/>
      <c r="AB22" s="23"/>
      <c r="AC22" s="23"/>
      <c r="AD22" s="23"/>
      <c r="AE22" s="23"/>
      <c r="AF22" s="23"/>
      <c r="AG22" s="22"/>
      <c r="AH22" s="22"/>
      <c r="AI22" s="23"/>
      <c r="AJ22" s="23"/>
      <c r="AK22" s="22"/>
      <c r="AL22" s="22"/>
      <c r="AM22" s="23"/>
      <c r="AN22" s="22"/>
      <c r="AO22" s="22"/>
      <c r="AP22" s="23"/>
      <c r="AQ22" s="24"/>
      <c r="AR22" s="23"/>
      <c r="AS22" s="22"/>
      <c r="AT22" s="22" t="s">
        <v>20</v>
      </c>
      <c r="AU22" s="23"/>
      <c r="AV22" s="23" t="s">
        <v>25</v>
      </c>
      <c r="AW22" s="22" t="s">
        <v>20</v>
      </c>
      <c r="AX22" s="23"/>
      <c r="AY22" s="23" t="s">
        <v>25</v>
      </c>
      <c r="AZ22" s="24" t="s">
        <v>24</v>
      </c>
      <c r="BA22" s="23"/>
      <c r="BB22" s="22"/>
      <c r="BC22" s="24" t="s">
        <v>24</v>
      </c>
      <c r="BD22" s="23"/>
      <c r="BE22" s="22"/>
      <c r="BF22" s="24" t="s">
        <v>24</v>
      </c>
      <c r="BG22" s="24"/>
      <c r="BH22" s="26"/>
      <c r="BI22" s="25" t="s">
        <v>51</v>
      </c>
      <c r="BJ22" s="23"/>
      <c r="BK22" s="23" t="s">
        <v>31</v>
      </c>
      <c r="BL22" s="24" t="s">
        <v>24</v>
      </c>
      <c r="BM22" s="25"/>
      <c r="BN22" s="25"/>
      <c r="BO22" s="26" t="s">
        <v>24</v>
      </c>
      <c r="BP22" s="22"/>
      <c r="BQ22" s="22"/>
      <c r="BR22" s="23" t="s">
        <v>20</v>
      </c>
      <c r="BS22" s="22">
        <v>1</v>
      </c>
      <c r="BT22" s="23" t="s">
        <v>22</v>
      </c>
      <c r="BU22" s="26" t="s">
        <v>24</v>
      </c>
      <c r="BV22" s="26"/>
      <c r="BW22" s="24"/>
      <c r="BX22" s="26" t="s">
        <v>24</v>
      </c>
      <c r="BY22" s="23"/>
      <c r="BZ22" s="23"/>
      <c r="CA22" s="24" t="s">
        <v>24</v>
      </c>
      <c r="CB22" s="23"/>
      <c r="CC22" s="22"/>
      <c r="CD22" s="23"/>
      <c r="CE22" s="22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7">
        <f t="shared" si="6"/>
        <v>1</v>
      </c>
      <c r="CT22" s="27">
        <f t="shared" si="7"/>
        <v>3</v>
      </c>
      <c r="CU22" s="27">
        <f t="shared" si="8"/>
        <v>1</v>
      </c>
      <c r="CV22" s="28">
        <v>850</v>
      </c>
      <c r="CW22" s="27">
        <f t="shared" si="9"/>
        <v>3150</v>
      </c>
      <c r="CX22" s="27">
        <f t="shared" si="10"/>
        <v>106.25</v>
      </c>
      <c r="CY22" s="27">
        <f t="shared" si="11"/>
        <v>3256.25</v>
      </c>
      <c r="CZ22" s="33"/>
      <c r="DA22" s="10"/>
    </row>
    <row r="23" spans="1:105" ht="29.45" customHeight="1" thickBot="1" x14ac:dyDescent="0.3">
      <c r="A23" s="19">
        <v>19</v>
      </c>
      <c r="B23" s="20" t="s">
        <v>55</v>
      </c>
      <c r="C23" s="36" t="s">
        <v>19</v>
      </c>
      <c r="D23" s="24"/>
      <c r="E23" s="22"/>
      <c r="F23" s="22"/>
      <c r="G23" s="22"/>
      <c r="H23" s="22"/>
      <c r="I23" s="22"/>
      <c r="J23" s="22"/>
      <c r="K23" s="23"/>
      <c r="L23" s="22"/>
      <c r="M23" s="22"/>
      <c r="N23" s="23"/>
      <c r="O23" s="22"/>
      <c r="P23" s="22"/>
      <c r="Q23" s="23"/>
      <c r="R23" s="22"/>
      <c r="S23" s="22"/>
      <c r="T23" s="23"/>
      <c r="U23" s="22"/>
      <c r="V23" s="22"/>
      <c r="W23" s="23"/>
      <c r="X23" s="22"/>
      <c r="Y23" s="23"/>
      <c r="Z23" s="23"/>
      <c r="AA23" s="22"/>
      <c r="AB23" s="23"/>
      <c r="AC23" s="23"/>
      <c r="AD23" s="23"/>
      <c r="AE23" s="23"/>
      <c r="AF23" s="23"/>
      <c r="AG23" s="22"/>
      <c r="AH23" s="22"/>
      <c r="AI23" s="23"/>
      <c r="AJ23" s="23"/>
      <c r="AK23" s="22"/>
      <c r="AL23" s="22"/>
      <c r="AM23" s="23"/>
      <c r="AN23" s="22"/>
      <c r="AO23" s="22"/>
      <c r="AP23" s="23"/>
      <c r="AQ23" s="24"/>
      <c r="AR23" s="23"/>
      <c r="AS23" s="22"/>
      <c r="AT23" s="22"/>
      <c r="AU23" s="23"/>
      <c r="AV23" s="22"/>
      <c r="AW23" s="22"/>
      <c r="AX23" s="23"/>
      <c r="AY23" s="22"/>
      <c r="AZ23" s="22"/>
      <c r="BA23" s="23"/>
      <c r="BB23" s="22"/>
      <c r="BC23" s="22"/>
      <c r="BD23" s="23"/>
      <c r="BE23" s="22"/>
      <c r="BF23" s="24"/>
      <c r="BG23" s="26"/>
      <c r="BH23" s="26"/>
      <c r="BI23" s="25" t="s">
        <v>20</v>
      </c>
      <c r="BJ23" s="23">
        <v>1</v>
      </c>
      <c r="BK23" s="23" t="s">
        <v>31</v>
      </c>
      <c r="BL23" s="31" t="s">
        <v>20</v>
      </c>
      <c r="BM23" s="25">
        <v>2</v>
      </c>
      <c r="BN23" s="25"/>
      <c r="BO23" s="23" t="s">
        <v>20</v>
      </c>
      <c r="BP23" s="22">
        <v>1</v>
      </c>
      <c r="BQ23" s="23" t="s">
        <v>31</v>
      </c>
      <c r="BR23" s="23" t="s">
        <v>20</v>
      </c>
      <c r="BS23" s="22"/>
      <c r="BT23" s="23" t="s">
        <v>25</v>
      </c>
      <c r="BU23" s="26" t="s">
        <v>24</v>
      </c>
      <c r="BV23" s="26"/>
      <c r="BW23" s="24"/>
      <c r="BX23" s="23" t="s">
        <v>20</v>
      </c>
      <c r="BY23" s="23"/>
      <c r="BZ23" s="23" t="s">
        <v>22</v>
      </c>
      <c r="CA23" s="24" t="s">
        <v>24</v>
      </c>
      <c r="CB23" s="23"/>
      <c r="CC23" s="22"/>
      <c r="CD23" s="23"/>
      <c r="CE23" s="22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7">
        <f t="shared" si="6"/>
        <v>0</v>
      </c>
      <c r="CT23" s="27">
        <f t="shared" si="7"/>
        <v>5</v>
      </c>
      <c r="CU23" s="27">
        <f t="shared" si="8"/>
        <v>4</v>
      </c>
      <c r="CV23" s="28">
        <v>850</v>
      </c>
      <c r="CW23" s="27">
        <f t="shared" si="9"/>
        <v>4850</v>
      </c>
      <c r="CX23" s="27">
        <f t="shared" si="10"/>
        <v>425</v>
      </c>
      <c r="CY23" s="27">
        <f t="shared" si="11"/>
        <v>5275</v>
      </c>
      <c r="CZ23" s="33"/>
      <c r="DA23" s="10"/>
    </row>
    <row r="24" spans="1:105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7"/>
      <c r="CU24" s="7"/>
      <c r="CV24" s="7"/>
      <c r="CW24" s="100" t="s">
        <v>56</v>
      </c>
      <c r="CX24" s="100"/>
      <c r="CY24" s="37">
        <f>SUM(CY5:CY20)</f>
        <v>211718.75</v>
      </c>
      <c r="CZ24" s="7"/>
      <c r="DA24" s="10"/>
    </row>
    <row r="25" spans="1:105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7"/>
      <c r="CU25" s="7"/>
      <c r="CV25" s="7"/>
      <c r="CW25" s="101" t="s">
        <v>57</v>
      </c>
      <c r="CX25" s="101"/>
      <c r="CY25" s="38"/>
      <c r="CZ25" s="7"/>
      <c r="DA25" s="10"/>
    </row>
    <row r="26" spans="1:105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7"/>
      <c r="CU26" s="7"/>
      <c r="CV26" s="7"/>
      <c r="CW26" s="102" t="s">
        <v>58</v>
      </c>
      <c r="CX26" s="102"/>
      <c r="CY26" s="39">
        <f>CY24+CY25</f>
        <v>211718.75</v>
      </c>
      <c r="CZ26" s="7"/>
      <c r="DA26" s="10"/>
    </row>
    <row r="27" spans="1:105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7"/>
      <c r="CU27" s="7"/>
      <c r="CV27" s="7"/>
      <c r="CW27" s="103" t="s">
        <v>59</v>
      </c>
      <c r="CX27" s="103"/>
      <c r="CY27" s="40"/>
      <c r="CZ27" s="7"/>
      <c r="DA27" s="10"/>
    </row>
    <row r="28" spans="1:105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7"/>
      <c r="CU28" s="7"/>
      <c r="CV28" s="7"/>
      <c r="CW28" s="104" t="s">
        <v>57</v>
      </c>
      <c r="CX28" s="104"/>
      <c r="CY28" s="41">
        <f>CY26-CY27</f>
        <v>211718.75</v>
      </c>
      <c r="CZ28" s="7"/>
      <c r="DA28" s="10"/>
    </row>
    <row r="29" spans="1:105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7"/>
      <c r="CU29" s="7"/>
      <c r="CV29" s="7"/>
      <c r="CW29" s="7"/>
      <c r="CX29" s="42" t="s">
        <v>60</v>
      </c>
      <c r="CY29" s="8">
        <v>200000</v>
      </c>
      <c r="CZ29" s="7"/>
      <c r="DA29" s="10"/>
    </row>
    <row r="30" spans="1:105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7"/>
      <c r="CU30" s="7"/>
      <c r="CV30" s="7"/>
      <c r="CW30" s="7"/>
      <c r="CX30" s="42" t="s">
        <v>61</v>
      </c>
      <c r="CY30" s="8">
        <f>CY28-CY29</f>
        <v>11718.75</v>
      </c>
      <c r="CZ30" s="7"/>
      <c r="DA30" s="10"/>
    </row>
    <row r="31" spans="1:105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7"/>
      <c r="CU31" s="7"/>
      <c r="CV31" s="7"/>
      <c r="CW31" s="7"/>
      <c r="CX31" s="42"/>
      <c r="CY31" s="8"/>
      <c r="CZ31" s="7"/>
      <c r="DA31" s="10"/>
    </row>
    <row r="32" spans="1:105" x14ac:dyDescent="0.25">
      <c r="A32" s="7"/>
      <c r="B32" s="43"/>
      <c r="C32" s="43"/>
      <c r="D32" s="7"/>
      <c r="E32" s="7"/>
      <c r="F32" s="7"/>
      <c r="G32" s="7"/>
      <c r="H32" s="8"/>
      <c r="I32" s="7"/>
      <c r="J32" s="7"/>
      <c r="K32" s="7"/>
      <c r="L32" s="7"/>
      <c r="M32" s="7"/>
      <c r="N32" s="7"/>
      <c r="O32" s="8"/>
      <c r="P32" s="7"/>
      <c r="Q32" s="7"/>
      <c r="R32" s="8"/>
      <c r="S32" s="8"/>
      <c r="T32" s="8"/>
      <c r="U32" s="7"/>
      <c r="V32" s="7"/>
      <c r="W32" s="7"/>
      <c r="X32" s="7"/>
      <c r="Y32" s="7"/>
      <c r="Z32" s="7"/>
      <c r="AA32" s="7"/>
      <c r="AB32" s="7"/>
      <c r="AC32" s="8"/>
      <c r="AD32" s="7"/>
      <c r="AE32" s="7"/>
      <c r="AF32" s="7"/>
      <c r="AG32" s="7"/>
      <c r="AH32" s="7"/>
      <c r="AI32" s="7"/>
      <c r="AJ32" s="8"/>
      <c r="AK32" s="7"/>
      <c r="AL32" s="7"/>
      <c r="AM32" s="8"/>
      <c r="AN32" s="8"/>
      <c r="AO32" s="7"/>
      <c r="AP32" s="8"/>
      <c r="AQ32" s="7"/>
      <c r="AR32" s="7"/>
      <c r="AS32" s="8"/>
      <c r="AT32" s="7"/>
      <c r="AU32" s="7"/>
      <c r="AV32" s="8"/>
      <c r="AW32" s="8"/>
      <c r="AX32" s="7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7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7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7"/>
      <c r="CU32" s="7"/>
      <c r="CV32" s="9"/>
      <c r="CW32" s="7"/>
      <c r="CX32" s="9"/>
      <c r="CY32" s="9"/>
      <c r="CZ32" s="44"/>
      <c r="DA32" s="10"/>
    </row>
    <row r="33" spans="1:105" ht="28.9" customHeight="1" x14ac:dyDescent="0.25">
      <c r="A33" s="45"/>
      <c r="B33" s="45"/>
      <c r="C33" s="45"/>
      <c r="D33" s="45"/>
      <c r="E33" s="45"/>
      <c r="F33" s="46"/>
      <c r="G33" s="46"/>
      <c r="H33" s="8"/>
      <c r="I33" s="7"/>
      <c r="J33" s="7"/>
      <c r="K33" s="7"/>
      <c r="L33" s="7"/>
      <c r="M33" s="7"/>
      <c r="N33" s="7"/>
      <c r="O33" s="8"/>
      <c r="P33" s="7"/>
      <c r="Q33" s="7"/>
      <c r="R33" s="8"/>
      <c r="S33" s="8"/>
      <c r="T33" s="8"/>
      <c r="U33" s="7"/>
      <c r="V33" s="7"/>
      <c r="W33" s="7"/>
      <c r="X33" s="7"/>
      <c r="Y33" s="7"/>
      <c r="Z33" s="7"/>
      <c r="AA33" s="7"/>
      <c r="AB33" s="7"/>
      <c r="AC33" s="8"/>
      <c r="AD33" s="7"/>
      <c r="AE33" s="7"/>
      <c r="AF33" s="7"/>
      <c r="AG33" s="7"/>
      <c r="AH33" s="7"/>
      <c r="AI33" s="7"/>
      <c r="AJ33" s="8"/>
      <c r="AK33" s="7"/>
      <c r="AL33" s="7"/>
      <c r="AM33" s="8"/>
      <c r="AN33" s="8"/>
      <c r="AO33" s="7"/>
      <c r="AP33" s="8"/>
      <c r="AQ33" s="7"/>
      <c r="AR33" s="7"/>
      <c r="AS33" s="8"/>
      <c r="AT33" s="7"/>
      <c r="AU33" s="7"/>
      <c r="AV33" s="8"/>
      <c r="AW33" s="8"/>
      <c r="AX33" s="7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7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7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7"/>
      <c r="CV33" s="9"/>
      <c r="CW33" s="7"/>
      <c r="CX33" s="9"/>
      <c r="CY33" s="7"/>
      <c r="CZ33" s="7"/>
      <c r="DA33" s="10"/>
    </row>
    <row r="34" spans="1:105" x14ac:dyDescent="0.25">
      <c r="H34" s="8"/>
      <c r="I34" s="7"/>
      <c r="J34" s="7"/>
      <c r="K34" s="7"/>
      <c r="L34" s="7"/>
      <c r="M34" s="7"/>
      <c r="N34" s="7"/>
      <c r="O34" s="8"/>
      <c r="P34" s="7"/>
      <c r="Q34" s="7"/>
      <c r="R34" s="8"/>
      <c r="S34" s="8"/>
      <c r="T34" s="8"/>
      <c r="U34" s="7"/>
      <c r="V34" s="7"/>
      <c r="W34" s="7"/>
      <c r="X34" s="7"/>
      <c r="Y34" s="7"/>
      <c r="Z34" s="7"/>
      <c r="AA34" s="7"/>
      <c r="AB34" s="7"/>
      <c r="AC34" s="8"/>
      <c r="AD34" s="7"/>
      <c r="AE34" s="7"/>
      <c r="AF34" s="7"/>
      <c r="AG34" s="7"/>
      <c r="AH34" s="7"/>
      <c r="AI34" s="7"/>
      <c r="AJ34" s="8"/>
      <c r="AK34" s="7"/>
      <c r="AL34" s="7"/>
      <c r="AM34" s="8"/>
      <c r="AN34" s="8"/>
      <c r="AO34" s="7"/>
      <c r="AP34" s="8"/>
      <c r="AQ34" s="7"/>
      <c r="AR34" s="7"/>
      <c r="AS34" s="8"/>
      <c r="AT34" s="7"/>
      <c r="AU34" s="7"/>
      <c r="AV34" s="8"/>
      <c r="AW34" s="8"/>
      <c r="AX34" s="7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7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7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U34" s="7"/>
      <c r="CV34" s="9"/>
      <c r="CW34" s="7"/>
      <c r="CX34" s="9"/>
      <c r="CY34" s="7"/>
      <c r="CZ34" s="7"/>
      <c r="DA34" s="10"/>
    </row>
    <row r="35" spans="1:105" x14ac:dyDescent="0.25">
      <c r="H35" s="8"/>
      <c r="I35" s="7"/>
      <c r="J35" s="7"/>
      <c r="K35" s="7"/>
      <c r="L35" s="7"/>
      <c r="M35" s="7"/>
      <c r="N35" s="7"/>
      <c r="O35" s="8"/>
      <c r="P35" s="7"/>
      <c r="Q35" s="7"/>
      <c r="R35" s="8"/>
      <c r="S35" s="8"/>
      <c r="T35" s="8"/>
      <c r="U35" s="7"/>
      <c r="V35" s="7"/>
      <c r="W35" s="7"/>
      <c r="X35" s="7"/>
      <c r="Y35" s="7"/>
      <c r="Z35" s="7"/>
      <c r="AA35" s="7"/>
      <c r="AB35" s="7"/>
      <c r="AC35" s="8"/>
      <c r="AD35" s="7"/>
      <c r="AE35" s="7"/>
      <c r="AF35" s="7"/>
      <c r="AG35" s="7"/>
      <c r="AH35" s="7"/>
      <c r="AI35" s="7"/>
      <c r="AJ35" s="8"/>
      <c r="AK35" s="7"/>
      <c r="AL35" s="7"/>
      <c r="AM35" s="8"/>
      <c r="AN35" s="8"/>
      <c r="AO35" s="7"/>
      <c r="AP35" s="8"/>
      <c r="AQ35" s="7"/>
      <c r="AR35" s="7"/>
      <c r="AS35" s="8"/>
      <c r="AT35" s="7"/>
      <c r="AU35" s="7"/>
      <c r="AV35" s="8"/>
      <c r="AW35" s="8"/>
      <c r="AX35" s="7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7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7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U35" s="7"/>
      <c r="CV35" s="7"/>
      <c r="CW35" s="7"/>
      <c r="CX35" s="9"/>
      <c r="CY35" s="7"/>
      <c r="CZ35" s="7"/>
      <c r="DA35" s="10"/>
    </row>
    <row r="36" spans="1:105" x14ac:dyDescent="0.25">
      <c r="H36" s="8"/>
      <c r="I36" s="7"/>
      <c r="J36" s="7"/>
      <c r="K36" s="7"/>
      <c r="L36" s="7"/>
      <c r="M36" s="7"/>
      <c r="N36" s="7"/>
      <c r="O36" s="8"/>
      <c r="P36" s="7"/>
      <c r="Q36" s="7"/>
      <c r="R36" s="8"/>
      <c r="S36" s="8"/>
      <c r="T36" s="8"/>
      <c r="U36" s="7"/>
      <c r="V36" s="7"/>
      <c r="W36" s="7"/>
      <c r="X36" s="7"/>
      <c r="Y36" s="7"/>
      <c r="Z36" s="7"/>
      <c r="AA36" s="7"/>
      <c r="AB36" s="7"/>
      <c r="AC36" s="8"/>
      <c r="AD36" s="7"/>
      <c r="AE36" s="7"/>
      <c r="AF36" s="7"/>
      <c r="AG36" s="7"/>
      <c r="AH36" s="7"/>
      <c r="AI36" s="7"/>
      <c r="AJ36" s="8"/>
      <c r="AK36" s="7"/>
      <c r="AL36" s="7"/>
      <c r="AM36" s="8"/>
      <c r="AN36" s="8"/>
      <c r="AO36" s="7"/>
      <c r="AP36" s="8"/>
      <c r="AQ36" s="7"/>
      <c r="AR36" s="7"/>
      <c r="AS36" s="8"/>
      <c r="AT36" s="7"/>
      <c r="AU36" s="7"/>
      <c r="AV36" s="8"/>
      <c r="AW36" s="8"/>
      <c r="AX36" s="7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7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7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U36" s="7"/>
      <c r="CV36" s="7"/>
      <c r="CW36" s="7"/>
      <c r="CX36" s="9"/>
      <c r="CY36" s="9"/>
      <c r="CZ36" s="7"/>
      <c r="DA36" s="10"/>
    </row>
    <row r="37" spans="1:105" x14ac:dyDescent="0.25">
      <c r="H37" s="8"/>
      <c r="I37" s="7"/>
      <c r="J37" s="7"/>
      <c r="K37" s="7"/>
      <c r="L37" s="7"/>
      <c r="M37" s="7"/>
      <c r="N37" s="7"/>
      <c r="O37" s="8"/>
      <c r="P37" s="7"/>
      <c r="Q37" s="7"/>
      <c r="R37" s="8"/>
      <c r="S37" s="8"/>
      <c r="T37" s="8"/>
      <c r="U37" s="7"/>
      <c r="V37" s="7"/>
      <c r="W37" s="7"/>
      <c r="X37" s="7"/>
      <c r="Y37" s="7"/>
      <c r="Z37" s="7"/>
      <c r="AA37" s="7"/>
      <c r="AB37" s="7"/>
      <c r="AC37" s="8"/>
      <c r="AD37" s="7"/>
      <c r="AE37" s="7"/>
      <c r="AF37" s="7"/>
      <c r="AG37" s="7"/>
      <c r="AH37" s="7"/>
      <c r="AI37" s="7"/>
      <c r="AJ37" s="8"/>
      <c r="AK37" s="7"/>
      <c r="AL37" s="7"/>
      <c r="AM37" s="8"/>
      <c r="AN37" s="8"/>
      <c r="AO37" s="7"/>
      <c r="AP37" s="8"/>
      <c r="AQ37" s="7"/>
      <c r="AR37" s="7"/>
      <c r="AS37" s="8"/>
      <c r="AT37" s="7"/>
      <c r="AU37" s="7"/>
      <c r="AV37" s="8"/>
      <c r="AW37" s="8"/>
      <c r="AX37" s="7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7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7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U37" s="7"/>
      <c r="CV37" s="7"/>
      <c r="CW37" s="7"/>
      <c r="CX37" s="9"/>
      <c r="CY37" s="9"/>
      <c r="CZ37" s="7"/>
      <c r="DA37" s="10"/>
    </row>
    <row r="38" spans="1:105" x14ac:dyDescent="0.25">
      <c r="H38" s="8"/>
      <c r="I38" s="7"/>
      <c r="J38" s="7"/>
      <c r="K38" s="7"/>
      <c r="L38" s="7"/>
      <c r="M38" s="7"/>
      <c r="N38" s="7"/>
      <c r="O38" s="8"/>
      <c r="P38" s="7"/>
      <c r="Q38" s="7"/>
      <c r="R38" s="8"/>
      <c r="S38" s="8"/>
      <c r="T38" s="8"/>
      <c r="U38" s="7"/>
      <c r="V38" s="7"/>
      <c r="W38" s="7"/>
      <c r="X38" s="7"/>
      <c r="Y38" s="7"/>
      <c r="Z38" s="7"/>
      <c r="AA38" s="7"/>
      <c r="AB38" s="7"/>
      <c r="AC38" s="8"/>
      <c r="AD38" s="7"/>
      <c r="AE38" s="7"/>
      <c r="AF38" s="7"/>
      <c r="AG38" s="7"/>
      <c r="AH38" s="7"/>
      <c r="AI38" s="7"/>
      <c r="AJ38" s="8"/>
      <c r="AK38" s="7"/>
      <c r="AL38" s="7"/>
      <c r="AM38" s="8"/>
      <c r="AN38" s="8"/>
      <c r="AO38" s="7"/>
      <c r="AP38" s="8"/>
      <c r="AQ38" s="7"/>
      <c r="AR38" s="7"/>
      <c r="AS38" s="8"/>
      <c r="AT38" s="7"/>
      <c r="AU38" s="7"/>
      <c r="AV38" s="8"/>
      <c r="AW38" s="8"/>
      <c r="AX38" s="7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7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7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U38" s="7"/>
      <c r="CV38" s="7"/>
      <c r="CW38" s="7"/>
      <c r="CX38" s="9"/>
      <c r="CY38" s="9"/>
      <c r="CZ38" s="7"/>
      <c r="DA38" s="10"/>
    </row>
    <row r="39" spans="1:105" x14ac:dyDescent="0.25">
      <c r="H39" s="8"/>
      <c r="I39" s="7"/>
      <c r="J39" s="7"/>
      <c r="K39" s="7"/>
      <c r="L39" s="7"/>
      <c r="M39" s="7"/>
      <c r="N39" s="7"/>
      <c r="O39" s="8"/>
      <c r="P39" s="7"/>
      <c r="Q39" s="7"/>
      <c r="R39" s="8"/>
      <c r="S39" s="8"/>
      <c r="T39" s="8"/>
      <c r="U39" s="7"/>
      <c r="V39" s="7"/>
      <c r="W39" s="7"/>
      <c r="X39" s="7"/>
      <c r="Y39" s="7"/>
      <c r="Z39" s="7"/>
      <c r="AA39" s="7"/>
      <c r="AB39" s="7"/>
      <c r="AC39" s="8"/>
      <c r="AD39" s="7"/>
      <c r="AE39" s="7"/>
      <c r="AF39" s="7"/>
      <c r="AG39" s="7"/>
      <c r="AH39" s="7"/>
      <c r="AI39" s="7"/>
      <c r="AJ39" s="8"/>
      <c r="AK39" s="7"/>
      <c r="AL39" s="7"/>
      <c r="AM39" s="8"/>
      <c r="AN39" s="8"/>
      <c r="AO39" s="7"/>
      <c r="AP39" s="8"/>
      <c r="AQ39" s="7"/>
      <c r="AR39" s="7"/>
      <c r="AS39" s="8"/>
      <c r="AT39" s="7"/>
      <c r="AU39" s="7"/>
      <c r="AV39" s="8"/>
      <c r="AW39" s="8"/>
      <c r="AX39" s="7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7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7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U39" s="7"/>
      <c r="CV39" s="7"/>
      <c r="CW39" s="7"/>
      <c r="CX39" s="9"/>
      <c r="CY39" s="9"/>
      <c r="CZ39" s="7"/>
      <c r="DA39" s="10"/>
    </row>
    <row r="40" spans="1:105" x14ac:dyDescent="0.25">
      <c r="H40" s="8"/>
      <c r="I40" s="7"/>
      <c r="J40" s="7"/>
      <c r="K40" s="7"/>
      <c r="L40" s="7"/>
      <c r="M40" s="7"/>
      <c r="N40" s="7"/>
      <c r="O40" s="8"/>
      <c r="P40" s="7"/>
      <c r="Q40" s="7"/>
      <c r="R40" s="8"/>
      <c r="S40" s="8"/>
      <c r="T40" s="8"/>
      <c r="U40" s="7"/>
      <c r="V40" s="7"/>
      <c r="W40" s="7"/>
      <c r="X40" s="7"/>
      <c r="Y40" s="7"/>
      <c r="Z40" s="7"/>
      <c r="AA40" s="7"/>
      <c r="AB40" s="7"/>
      <c r="AC40" s="8"/>
      <c r="AD40" s="7"/>
      <c r="AE40" s="7"/>
      <c r="AF40" s="7"/>
      <c r="AG40" s="7"/>
      <c r="AH40" s="7"/>
      <c r="AI40" s="7"/>
      <c r="AJ40" s="8"/>
      <c r="AK40" s="7"/>
      <c r="AL40" s="7"/>
      <c r="AM40" s="8"/>
      <c r="AN40" s="8"/>
      <c r="AO40" s="7"/>
      <c r="AP40" s="8"/>
      <c r="AQ40" s="7"/>
      <c r="AR40" s="7"/>
      <c r="AS40" s="8"/>
      <c r="AT40" s="7"/>
      <c r="AU40" s="7"/>
      <c r="AV40" s="8"/>
      <c r="AW40" s="8"/>
      <c r="AX40" s="7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7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7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U40" s="7"/>
      <c r="CV40" s="7"/>
      <c r="CW40" s="7"/>
      <c r="CX40" s="9"/>
      <c r="CY40" s="9"/>
      <c r="CZ40" s="7"/>
      <c r="DA40" s="10"/>
    </row>
    <row r="41" spans="1:105" x14ac:dyDescent="0.25">
      <c r="H41" s="8"/>
      <c r="I41" s="7"/>
      <c r="J41" s="7"/>
      <c r="K41" s="7"/>
      <c r="L41" s="7"/>
      <c r="M41" s="7"/>
      <c r="N41" s="7"/>
      <c r="O41" s="8"/>
      <c r="P41" s="7"/>
      <c r="Q41" s="7"/>
      <c r="R41" s="8"/>
      <c r="S41" s="8"/>
      <c r="T41" s="8"/>
      <c r="U41" s="7"/>
      <c r="V41" s="7"/>
      <c r="W41" s="7"/>
      <c r="X41" s="7"/>
      <c r="Y41" s="7"/>
      <c r="Z41" s="7"/>
      <c r="AA41" s="7"/>
      <c r="AB41" s="7"/>
      <c r="AC41" s="8"/>
      <c r="AD41" s="7"/>
      <c r="AE41" s="7"/>
      <c r="AF41" s="7"/>
      <c r="AG41" s="7"/>
      <c r="AH41" s="7"/>
      <c r="AI41" s="7"/>
      <c r="AJ41" s="8"/>
      <c r="AK41" s="7"/>
      <c r="AL41" s="7"/>
      <c r="AM41" s="8"/>
      <c r="AN41" s="8"/>
      <c r="AO41" s="7"/>
      <c r="AP41" s="8"/>
      <c r="AQ41" s="7"/>
      <c r="AR41" s="7"/>
      <c r="AS41" s="8"/>
      <c r="AT41" s="7"/>
      <c r="AU41" s="7"/>
      <c r="AV41" s="8"/>
      <c r="AW41" s="8"/>
      <c r="AX41" s="7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7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7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U41" s="7"/>
      <c r="CV41" s="7"/>
      <c r="CW41" s="7"/>
      <c r="CX41" s="9"/>
      <c r="CY41" s="9"/>
      <c r="CZ41" s="7"/>
      <c r="DA41" s="10"/>
    </row>
    <row r="42" spans="1:105" x14ac:dyDescent="0.25">
      <c r="A42" s="7"/>
      <c r="B42" s="10"/>
      <c r="C42" s="47"/>
      <c r="D42" s="7"/>
      <c r="E42" s="7"/>
      <c r="F42" s="7"/>
      <c r="G42" s="7"/>
      <c r="H42" s="8"/>
      <c r="I42" s="7"/>
      <c r="J42" s="7"/>
      <c r="K42" s="7"/>
      <c r="L42" s="7"/>
      <c r="M42" s="7"/>
      <c r="N42" s="7"/>
      <c r="O42" s="8"/>
      <c r="P42" s="7"/>
      <c r="Q42" s="7"/>
      <c r="R42" s="8"/>
      <c r="S42" s="8"/>
      <c r="T42" s="8"/>
      <c r="U42" s="7"/>
      <c r="V42" s="7"/>
      <c r="W42" s="7"/>
      <c r="X42" s="7"/>
      <c r="Y42" s="7"/>
      <c r="Z42" s="7"/>
      <c r="AA42" s="7"/>
      <c r="AB42" s="7"/>
      <c r="AC42" s="8"/>
      <c r="AD42" s="7"/>
      <c r="AE42" s="7"/>
      <c r="AF42" s="7"/>
      <c r="AG42" s="7"/>
      <c r="AH42" s="7"/>
      <c r="AI42" s="7"/>
      <c r="AJ42" s="8"/>
      <c r="AK42" s="7"/>
      <c r="AL42" s="7"/>
      <c r="AM42" s="8"/>
      <c r="AN42" s="8"/>
      <c r="AO42" s="7"/>
      <c r="AP42" s="8"/>
      <c r="AQ42" s="7"/>
      <c r="AR42" s="7"/>
      <c r="AS42" s="8"/>
      <c r="AT42" s="7"/>
      <c r="AU42" s="7"/>
      <c r="AV42" s="8"/>
      <c r="AW42" s="8"/>
      <c r="AX42" s="7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7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7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U42" s="7"/>
      <c r="CV42" s="7"/>
      <c r="CW42" s="7"/>
      <c r="CX42" s="9"/>
      <c r="CY42" s="9"/>
      <c r="CZ42" s="7"/>
      <c r="DA42" s="10"/>
    </row>
    <row r="43" spans="1:105" x14ac:dyDescent="0.25">
      <c r="A43" s="7"/>
      <c r="B43" s="10"/>
      <c r="C43" s="47"/>
      <c r="D43" s="7"/>
      <c r="E43" s="7"/>
      <c r="F43" s="7"/>
      <c r="G43" s="7"/>
      <c r="H43" s="8"/>
      <c r="I43" s="7"/>
      <c r="J43" s="7"/>
      <c r="K43" s="7"/>
      <c r="L43" s="7"/>
      <c r="M43" s="7"/>
      <c r="N43" s="7"/>
      <c r="O43" s="8"/>
      <c r="P43" s="7"/>
      <c r="Q43" s="7"/>
      <c r="R43" s="8"/>
      <c r="S43" s="8"/>
      <c r="T43" s="8"/>
      <c r="U43" s="7"/>
      <c r="V43" s="7"/>
      <c r="W43" s="7"/>
      <c r="X43" s="7"/>
      <c r="Y43" s="7"/>
      <c r="Z43" s="7"/>
      <c r="AA43" s="7"/>
      <c r="AB43" s="7"/>
      <c r="AC43" s="8"/>
      <c r="AD43" s="7"/>
      <c r="AE43" s="7"/>
      <c r="AF43" s="7"/>
      <c r="AG43" s="7"/>
      <c r="AH43" s="7"/>
      <c r="AI43" s="7"/>
      <c r="AJ43" s="8"/>
      <c r="AK43" s="7"/>
      <c r="AL43" s="7"/>
      <c r="AM43" s="8"/>
      <c r="AN43" s="8"/>
      <c r="AO43" s="7"/>
      <c r="AP43" s="8"/>
      <c r="AQ43" s="7"/>
      <c r="AR43" s="7"/>
      <c r="AS43" s="8"/>
      <c r="AT43" s="7"/>
      <c r="AU43" s="7"/>
      <c r="AV43" s="8"/>
      <c r="AW43" s="8"/>
      <c r="AX43" s="7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7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7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U43" s="7"/>
      <c r="CV43" s="7"/>
      <c r="CW43" s="7"/>
      <c r="CX43" s="9"/>
      <c r="CY43" s="9"/>
      <c r="CZ43" s="7"/>
      <c r="DA43" s="10"/>
    </row>
    <row r="44" spans="1:105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7"/>
      <c r="CU44" s="7"/>
      <c r="CV44" s="7"/>
      <c r="CW44" s="7"/>
      <c r="CX44" s="42"/>
      <c r="CY44" s="8"/>
      <c r="CZ44" s="7"/>
      <c r="DA44" s="10"/>
    </row>
    <row r="45" spans="1:105" ht="15.75" x14ac:dyDescent="0.25">
      <c r="A45" s="48"/>
      <c r="B45" s="48"/>
      <c r="C45" s="49"/>
      <c r="D45" s="94"/>
      <c r="E45" s="94"/>
      <c r="F45" s="94"/>
      <c r="G45" s="94"/>
      <c r="H45" s="94"/>
      <c r="I45" s="94"/>
      <c r="J45" s="94"/>
      <c r="K45" s="94"/>
      <c r="L45" s="94"/>
      <c r="M45" s="96"/>
      <c r="N45" s="96"/>
      <c r="O45" s="96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6"/>
      <c r="AI45" s="96"/>
      <c r="AJ45" s="96"/>
      <c r="AK45" s="94"/>
      <c r="AL45" s="94"/>
      <c r="AM45" s="94"/>
      <c r="AN45" s="97"/>
      <c r="AO45" s="98"/>
      <c r="AP45" s="99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6"/>
      <c r="BD45" s="96"/>
      <c r="BE45" s="96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4"/>
      <c r="BQ45" s="94"/>
      <c r="BR45" s="94"/>
      <c r="BS45" s="94"/>
      <c r="BT45" s="94"/>
      <c r="BU45" s="94"/>
      <c r="BV45" s="94"/>
      <c r="BW45" s="94"/>
      <c r="BX45" s="96"/>
      <c r="BY45" s="96"/>
      <c r="BZ45" s="96"/>
      <c r="CA45" s="94"/>
      <c r="CB45" s="94"/>
      <c r="CC45" s="94"/>
      <c r="CD45" s="97"/>
      <c r="CE45" s="98"/>
      <c r="CF45" s="99"/>
      <c r="CG45" s="94"/>
      <c r="CH45" s="94"/>
      <c r="CI45" s="94"/>
      <c r="CJ45" s="94"/>
      <c r="CK45" s="94"/>
      <c r="CL45" s="94"/>
      <c r="CM45" s="94"/>
      <c r="CN45" s="94"/>
      <c r="CO45" s="94"/>
      <c r="CP45" s="94"/>
      <c r="CQ45" s="94"/>
      <c r="CR45" s="94"/>
      <c r="CS45" s="95"/>
      <c r="CT45" s="95"/>
      <c r="CU45" s="95"/>
      <c r="CV45" s="95"/>
      <c r="CW45" s="95"/>
      <c r="CX45" s="95"/>
      <c r="CY45" s="95"/>
      <c r="CZ45" s="12"/>
      <c r="DA45" s="13"/>
    </row>
    <row r="46" spans="1:105" x14ac:dyDescent="0.25">
      <c r="A46" s="50"/>
      <c r="B46" s="51"/>
      <c r="C46" s="51"/>
      <c r="D46" s="52"/>
      <c r="E46" s="53"/>
      <c r="F46" s="52"/>
      <c r="G46" s="52"/>
      <c r="H46" s="53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3"/>
      <c r="U46" s="52"/>
      <c r="V46" s="52"/>
      <c r="W46" s="53"/>
      <c r="X46" s="52"/>
      <c r="Y46" s="52"/>
      <c r="Z46" s="52"/>
      <c r="AA46" s="52"/>
      <c r="AB46" s="52"/>
      <c r="AC46" s="53"/>
      <c r="AD46" s="52"/>
      <c r="AE46" s="52"/>
      <c r="AF46" s="53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3"/>
      <c r="BB46" s="52"/>
      <c r="BC46" s="52"/>
      <c r="BD46" s="53"/>
      <c r="BE46" s="52"/>
      <c r="BF46" s="54"/>
      <c r="BG46" s="55"/>
      <c r="BH46" s="54"/>
      <c r="BI46" s="54"/>
      <c r="BJ46" s="54"/>
      <c r="BK46" s="54"/>
      <c r="BL46" s="54"/>
      <c r="BM46" s="55"/>
      <c r="BN46" s="54"/>
      <c r="BO46" s="52"/>
      <c r="BP46" s="53"/>
      <c r="BQ46" s="52"/>
      <c r="BR46" s="52"/>
      <c r="BS46" s="52"/>
      <c r="BT46" s="52"/>
      <c r="BU46" s="52"/>
      <c r="BV46" s="53"/>
      <c r="BW46" s="52"/>
      <c r="BX46" s="52"/>
      <c r="BY46" s="53"/>
      <c r="BZ46" s="52"/>
      <c r="CA46" s="52"/>
      <c r="CB46" s="53"/>
      <c r="CC46" s="52"/>
      <c r="CD46" s="52"/>
      <c r="CE46" s="52"/>
      <c r="CF46" s="52"/>
      <c r="CG46" s="52"/>
      <c r="CH46" s="52"/>
      <c r="CI46" s="52"/>
      <c r="CJ46" s="52"/>
      <c r="CK46" s="52"/>
      <c r="CL46" s="52"/>
      <c r="CM46" s="52"/>
      <c r="CN46" s="52"/>
      <c r="CO46" s="52"/>
      <c r="CP46" s="52"/>
      <c r="CQ46" s="52"/>
      <c r="CR46" s="52"/>
      <c r="CS46" s="56"/>
      <c r="CT46" s="57"/>
      <c r="CU46" s="57"/>
      <c r="CV46" s="57"/>
      <c r="CW46" s="58"/>
      <c r="CX46" s="56"/>
      <c r="CY46" s="59"/>
      <c r="CZ46" s="60"/>
      <c r="DA46" s="13"/>
    </row>
    <row r="47" spans="1:105" ht="17.45" customHeight="1" thickBot="1" x14ac:dyDescent="0.3">
      <c r="A47" s="61"/>
      <c r="B47" s="62"/>
      <c r="C47" s="63"/>
      <c r="D47" s="64"/>
      <c r="E47" s="64"/>
      <c r="F47" s="64"/>
      <c r="G47" s="64"/>
      <c r="H47" s="64"/>
      <c r="I47" s="64"/>
      <c r="J47" s="64"/>
      <c r="K47" s="65"/>
      <c r="L47" s="64"/>
      <c r="M47" s="64"/>
      <c r="N47" s="65"/>
      <c r="O47" s="65"/>
      <c r="P47" s="61"/>
      <c r="Q47" s="61"/>
      <c r="R47" s="61"/>
      <c r="S47" s="61"/>
      <c r="T47" s="61"/>
      <c r="U47" s="64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6"/>
      <c r="AR47" s="61"/>
      <c r="AS47" s="61"/>
      <c r="AT47" s="61"/>
      <c r="AU47" s="61"/>
      <c r="AV47" s="61"/>
      <c r="AW47" s="61"/>
      <c r="AX47" s="61"/>
      <c r="AY47" s="61"/>
      <c r="AZ47" s="67"/>
      <c r="BA47" s="61"/>
      <c r="BB47" s="64"/>
      <c r="BC47" s="67"/>
      <c r="BD47" s="65"/>
      <c r="BE47" s="64"/>
      <c r="BF47" s="68"/>
      <c r="BG47" s="68"/>
      <c r="BH47" s="61"/>
      <c r="BI47" s="69"/>
      <c r="BJ47" s="68"/>
      <c r="BK47" s="61"/>
      <c r="BL47" s="61"/>
      <c r="BM47" s="68"/>
      <c r="BN47" s="70"/>
      <c r="BO47" s="61"/>
      <c r="BP47" s="68"/>
      <c r="BQ47" s="61"/>
      <c r="BR47" s="64"/>
      <c r="BS47" s="65"/>
      <c r="BT47" s="61"/>
      <c r="BU47" s="61"/>
      <c r="BV47" s="71"/>
      <c r="BW47" s="61"/>
      <c r="BX47" s="64"/>
      <c r="BY47" s="65"/>
      <c r="BZ47" s="61"/>
      <c r="CA47" s="66"/>
      <c r="CB47" s="65"/>
      <c r="CC47" s="64"/>
      <c r="CD47" s="65"/>
      <c r="CE47" s="64"/>
      <c r="CF47" s="64"/>
      <c r="CG47" s="65"/>
      <c r="CH47" s="65"/>
      <c r="CI47" s="65"/>
      <c r="CJ47" s="65"/>
      <c r="CK47" s="65"/>
      <c r="CL47" s="65"/>
      <c r="CM47" s="65"/>
      <c r="CN47" s="65"/>
      <c r="CO47" s="65"/>
      <c r="CP47" s="65"/>
      <c r="CQ47" s="65"/>
      <c r="CR47" s="65"/>
      <c r="CS47" s="72"/>
      <c r="CT47" s="27"/>
      <c r="CU47" s="27"/>
      <c r="CV47" s="73"/>
      <c r="CW47" s="27"/>
      <c r="CX47" s="27"/>
      <c r="CY47" s="74"/>
      <c r="CZ47" s="75"/>
      <c r="DA47" s="13"/>
    </row>
    <row r="48" spans="1:105" ht="17.45" customHeight="1" thickBot="1" x14ac:dyDescent="0.3">
      <c r="A48" s="61"/>
      <c r="B48" s="62"/>
      <c r="C48" s="63"/>
      <c r="D48" s="66"/>
      <c r="E48" s="76"/>
      <c r="F48" s="63"/>
      <c r="G48" s="64"/>
      <c r="H48" s="76"/>
      <c r="I48" s="64"/>
      <c r="J48" s="66"/>
      <c r="K48" s="76"/>
      <c r="L48" s="63"/>
      <c r="M48" s="66"/>
      <c r="N48" s="76"/>
      <c r="O48" s="63"/>
      <c r="P48" s="61"/>
      <c r="Q48" s="76"/>
      <c r="R48" s="61"/>
      <c r="S48" s="61"/>
      <c r="T48" s="76"/>
      <c r="U48" s="64"/>
      <c r="V48" s="66"/>
      <c r="W48" s="76"/>
      <c r="X48" s="63"/>
      <c r="Y48" s="66"/>
      <c r="Z48" s="76"/>
      <c r="AA48" s="63"/>
      <c r="AB48" s="66"/>
      <c r="AC48" s="76"/>
      <c r="AD48" s="63"/>
      <c r="AE48" s="66"/>
      <c r="AF48" s="76"/>
      <c r="AG48" s="63"/>
      <c r="AH48" s="66"/>
      <c r="AI48" s="66"/>
      <c r="AJ48" s="63"/>
      <c r="AK48" s="66"/>
      <c r="AL48" s="76"/>
      <c r="AM48" s="63"/>
      <c r="AN48" s="66"/>
      <c r="AO48" s="76"/>
      <c r="AP48" s="63"/>
      <c r="AQ48" s="66"/>
      <c r="AR48" s="76"/>
      <c r="AS48" s="63"/>
      <c r="AT48" s="66"/>
      <c r="AU48" s="76"/>
      <c r="AV48" s="63"/>
      <c r="AW48" s="66"/>
      <c r="AX48" s="76"/>
      <c r="AY48" s="63"/>
      <c r="AZ48" s="66"/>
      <c r="BA48" s="76"/>
      <c r="BB48" s="63"/>
      <c r="BC48" s="66"/>
      <c r="BD48" s="76"/>
      <c r="BE48" s="63"/>
      <c r="BF48" s="66"/>
      <c r="BG48" s="76"/>
      <c r="BH48" s="63"/>
      <c r="BI48" s="66"/>
      <c r="BJ48" s="76"/>
      <c r="BK48" s="63"/>
      <c r="BL48" s="66"/>
      <c r="BM48" s="64"/>
      <c r="BN48" s="65"/>
      <c r="BO48" s="66"/>
      <c r="BP48" s="76"/>
      <c r="BQ48" s="63"/>
      <c r="BR48" s="66"/>
      <c r="BS48" s="76"/>
      <c r="BT48" s="63"/>
      <c r="BU48" s="66"/>
      <c r="BV48" s="76"/>
      <c r="BW48" s="63"/>
      <c r="BX48" s="66"/>
      <c r="BY48" s="76"/>
      <c r="BZ48" s="63"/>
      <c r="CA48" s="66"/>
      <c r="CB48" s="71"/>
      <c r="CC48" s="70"/>
      <c r="CD48" s="66"/>
      <c r="CE48" s="71"/>
      <c r="CF48" s="70"/>
      <c r="CG48" s="66"/>
      <c r="CH48" s="70"/>
      <c r="CI48" s="64"/>
      <c r="CJ48" s="66"/>
      <c r="CK48" s="70"/>
      <c r="CL48" s="71"/>
      <c r="CM48" s="66"/>
      <c r="CN48" s="70"/>
      <c r="CO48" s="70"/>
      <c r="CP48" s="66"/>
      <c r="CQ48" s="70"/>
      <c r="CR48" s="70"/>
      <c r="CS48" s="71"/>
      <c r="CT48" s="70"/>
      <c r="CU48" s="71"/>
      <c r="CV48" s="70"/>
      <c r="CW48" s="65"/>
      <c r="CX48" s="70"/>
      <c r="CY48" s="77"/>
      <c r="CZ48" s="78"/>
      <c r="DA48" s="13"/>
    </row>
    <row r="49" spans="1:105" ht="17.45" customHeight="1" thickBot="1" x14ac:dyDescent="0.3">
      <c r="A49" s="61"/>
      <c r="B49" s="62"/>
      <c r="C49" s="63"/>
      <c r="D49" s="66"/>
      <c r="E49" s="76"/>
      <c r="F49" s="63"/>
      <c r="G49" s="64"/>
      <c r="H49" s="76"/>
      <c r="I49" s="64"/>
      <c r="J49" s="66"/>
      <c r="K49" s="76"/>
      <c r="L49" s="63"/>
      <c r="M49" s="66"/>
      <c r="N49" s="76"/>
      <c r="O49" s="63"/>
      <c r="P49" s="61"/>
      <c r="Q49" s="76"/>
      <c r="R49" s="61"/>
      <c r="S49" s="61"/>
      <c r="T49" s="76"/>
      <c r="U49" s="64"/>
      <c r="V49" s="66"/>
      <c r="W49" s="76"/>
      <c r="X49" s="63"/>
      <c r="Y49" s="66"/>
      <c r="Z49" s="76"/>
      <c r="AA49" s="63"/>
      <c r="AB49" s="66"/>
      <c r="AC49" s="76"/>
      <c r="AD49" s="63"/>
      <c r="AE49" s="66"/>
      <c r="AF49" s="76"/>
      <c r="AG49" s="63"/>
      <c r="AH49" s="66"/>
      <c r="AI49" s="66"/>
      <c r="AJ49" s="63"/>
      <c r="AK49" s="66"/>
      <c r="AL49" s="76"/>
      <c r="AM49" s="63"/>
      <c r="AN49" s="66"/>
      <c r="AO49" s="76"/>
      <c r="AP49" s="63"/>
      <c r="AQ49" s="66"/>
      <c r="AR49" s="76"/>
      <c r="AS49" s="63"/>
      <c r="AT49" s="66"/>
      <c r="AU49" s="76"/>
      <c r="AV49" s="63"/>
      <c r="AW49" s="66"/>
      <c r="AX49" s="76"/>
      <c r="AY49" s="63"/>
      <c r="AZ49" s="66"/>
      <c r="BA49" s="76"/>
      <c r="BB49" s="63"/>
      <c r="BC49" s="66"/>
      <c r="BD49" s="76"/>
      <c r="BE49" s="63"/>
      <c r="BF49" s="66"/>
      <c r="BG49" s="76"/>
      <c r="BH49" s="63"/>
      <c r="BI49" s="66"/>
      <c r="BJ49" s="76"/>
      <c r="BK49" s="63"/>
      <c r="BL49" s="66"/>
      <c r="BM49" s="64"/>
      <c r="BN49" s="65"/>
      <c r="BO49" s="66"/>
      <c r="BP49" s="76"/>
      <c r="BQ49" s="63"/>
      <c r="BR49" s="66"/>
      <c r="BS49" s="76"/>
      <c r="BT49" s="63"/>
      <c r="BU49" s="66"/>
      <c r="BV49" s="76"/>
      <c r="BW49" s="63"/>
      <c r="BX49" s="66"/>
      <c r="BY49" s="76"/>
      <c r="BZ49" s="63"/>
      <c r="CA49" s="66"/>
      <c r="CB49" s="71"/>
      <c r="CC49" s="70"/>
      <c r="CD49" s="66"/>
      <c r="CE49" s="71"/>
      <c r="CF49" s="70"/>
      <c r="CG49" s="66"/>
      <c r="CH49" s="70"/>
      <c r="CI49" s="64"/>
      <c r="CJ49" s="66"/>
      <c r="CK49" s="70"/>
      <c r="CL49" s="71"/>
      <c r="CM49" s="66"/>
      <c r="CN49" s="70"/>
      <c r="CO49" s="70"/>
      <c r="CP49" s="66"/>
      <c r="CQ49" s="70"/>
      <c r="CR49" s="70"/>
      <c r="CS49" s="71"/>
      <c r="CT49" s="70"/>
      <c r="CU49" s="71"/>
      <c r="CV49" s="70"/>
      <c r="CW49" s="65"/>
      <c r="CX49" s="70"/>
      <c r="CY49" s="77"/>
      <c r="CZ49" s="78"/>
      <c r="DA49" s="13"/>
    </row>
    <row r="50" spans="1:105" ht="15.75" thickBot="1" x14ac:dyDescent="0.3">
      <c r="A50" s="61"/>
      <c r="B50" s="76"/>
      <c r="C50" s="63"/>
      <c r="D50" s="61"/>
      <c r="E50" s="76"/>
      <c r="F50" s="63"/>
      <c r="G50" s="61"/>
      <c r="H50" s="76"/>
      <c r="I50" s="63"/>
      <c r="J50" s="61"/>
      <c r="K50" s="76"/>
      <c r="L50" s="63"/>
      <c r="M50" s="61"/>
      <c r="N50" s="76"/>
      <c r="O50" s="63"/>
      <c r="P50" s="61"/>
      <c r="Q50" s="76"/>
      <c r="R50" s="63"/>
      <c r="S50" s="61"/>
      <c r="T50" s="76"/>
      <c r="U50" s="63"/>
      <c r="V50" s="61"/>
      <c r="W50" s="76"/>
      <c r="X50" s="63"/>
      <c r="Y50" s="61"/>
      <c r="Z50" s="76"/>
      <c r="AA50" s="63"/>
      <c r="AB50" s="61"/>
      <c r="AC50" s="76"/>
      <c r="AD50" s="63"/>
      <c r="AE50" s="61"/>
      <c r="AF50" s="76"/>
      <c r="AG50" s="63"/>
      <c r="AH50" s="61"/>
      <c r="AI50" s="76"/>
      <c r="AJ50" s="63"/>
      <c r="AK50" s="61"/>
      <c r="AL50" s="76"/>
      <c r="AM50" s="63"/>
      <c r="AN50" s="61"/>
      <c r="AO50" s="76"/>
      <c r="AP50" s="63"/>
      <c r="AQ50" s="61"/>
      <c r="AR50" s="76"/>
      <c r="AS50" s="63"/>
      <c r="AT50" s="61"/>
      <c r="AU50" s="76"/>
      <c r="AV50" s="63"/>
      <c r="AW50" s="61"/>
      <c r="AX50" s="76"/>
      <c r="AY50" s="63"/>
      <c r="AZ50" s="61"/>
      <c r="BA50" s="76"/>
      <c r="BB50" s="63"/>
      <c r="BC50" s="61"/>
      <c r="BD50" s="76"/>
      <c r="BE50" s="63"/>
      <c r="BF50" s="61"/>
      <c r="BG50" s="70"/>
      <c r="BH50" s="71"/>
      <c r="BI50" s="71"/>
      <c r="BJ50" s="70"/>
      <c r="BK50" s="71"/>
      <c r="BL50" s="70"/>
      <c r="BM50" s="64"/>
      <c r="BN50" s="65"/>
      <c r="BO50" s="70"/>
      <c r="BP50" s="71"/>
      <c r="BQ50" s="71"/>
      <c r="BR50" s="70"/>
      <c r="BS50" s="71"/>
      <c r="BT50" s="71"/>
      <c r="BU50" s="70"/>
      <c r="BV50" s="71"/>
      <c r="BW50" s="70"/>
      <c r="BX50" s="64"/>
      <c r="BY50" s="65"/>
      <c r="BZ50" s="70"/>
      <c r="CA50" s="71"/>
      <c r="CB50" s="71"/>
      <c r="CC50" s="70"/>
      <c r="CD50" s="71"/>
      <c r="CE50" s="71"/>
      <c r="CF50" s="70"/>
      <c r="CG50" s="71"/>
      <c r="CH50" s="70"/>
      <c r="CI50" s="64"/>
      <c r="CJ50" s="65"/>
      <c r="CK50" s="70"/>
      <c r="CL50" s="71"/>
      <c r="CM50" s="71"/>
      <c r="CN50" s="70"/>
      <c r="CO50" s="70"/>
      <c r="CP50" s="70"/>
      <c r="CQ50" s="70"/>
      <c r="CR50" s="70"/>
      <c r="CS50" s="71"/>
      <c r="CT50" s="70"/>
      <c r="CU50" s="71"/>
      <c r="CV50" s="70"/>
      <c r="CW50" s="65"/>
      <c r="CX50" s="70"/>
      <c r="CY50" s="79"/>
      <c r="CZ50" s="80"/>
      <c r="DA50" s="81"/>
    </row>
    <row r="51" spans="1:105" x14ac:dyDescent="0.25">
      <c r="A51" s="7"/>
      <c r="B51" s="10"/>
      <c r="C51" s="47"/>
      <c r="D51" s="7"/>
      <c r="E51" s="7"/>
      <c r="F51" s="7"/>
      <c r="G51" s="7"/>
      <c r="H51" s="8"/>
      <c r="I51" s="7"/>
      <c r="J51" s="7"/>
      <c r="K51" s="7"/>
      <c r="L51" s="7"/>
      <c r="M51" s="7"/>
      <c r="N51" s="7"/>
      <c r="O51" s="8"/>
      <c r="P51" s="7"/>
      <c r="Q51" s="7"/>
      <c r="R51" s="8"/>
      <c r="S51" s="8"/>
      <c r="T51" s="8"/>
      <c r="U51" s="7"/>
      <c r="V51" s="7"/>
      <c r="W51" s="7"/>
      <c r="X51" s="7"/>
      <c r="Y51" s="7"/>
      <c r="Z51" s="7"/>
      <c r="AA51" s="7"/>
      <c r="AB51" s="7"/>
      <c r="AC51" s="8"/>
      <c r="AD51" s="7"/>
      <c r="AE51" s="7"/>
      <c r="AF51" s="7"/>
      <c r="AG51" s="7"/>
      <c r="AH51" s="7"/>
      <c r="AI51" s="7"/>
      <c r="AJ51" s="8"/>
      <c r="AK51" s="7"/>
      <c r="AL51" s="7"/>
      <c r="AM51" s="8"/>
      <c r="AN51" s="8"/>
      <c r="AO51" s="7"/>
      <c r="AP51" s="8"/>
      <c r="AQ51" s="7"/>
      <c r="AR51" s="7"/>
      <c r="AS51" s="8"/>
      <c r="AT51" s="7"/>
      <c r="AU51" s="7"/>
      <c r="AV51" s="8"/>
      <c r="AW51" s="8"/>
      <c r="AX51" s="7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7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7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U51" s="7"/>
      <c r="CV51" s="7"/>
      <c r="CW51" s="7"/>
      <c r="CX51" s="9"/>
      <c r="CY51" s="9"/>
      <c r="CZ51" s="7"/>
      <c r="DA51" s="10"/>
    </row>
    <row r="52" spans="1:105" x14ac:dyDescent="0.25">
      <c r="A52" s="82"/>
      <c r="B52" s="82"/>
      <c r="C52" s="83"/>
      <c r="D52" s="84"/>
      <c r="E52" s="7"/>
      <c r="F52" s="8"/>
      <c r="G52" s="7"/>
      <c r="H52" s="8"/>
      <c r="I52" s="7"/>
      <c r="J52" s="7"/>
      <c r="K52" s="7"/>
      <c r="L52" s="7"/>
      <c r="M52" s="7"/>
      <c r="N52" s="7"/>
      <c r="O52" s="8"/>
      <c r="P52" s="7"/>
      <c r="Q52" s="7"/>
      <c r="R52" s="8"/>
      <c r="S52" s="8"/>
      <c r="T52" s="8"/>
      <c r="U52" s="7"/>
      <c r="V52" s="7"/>
      <c r="W52" s="7"/>
      <c r="X52" s="7"/>
      <c r="Y52" s="7"/>
      <c r="Z52" s="7"/>
      <c r="AA52" s="7"/>
      <c r="AB52" s="7"/>
      <c r="AC52" s="8"/>
      <c r="AD52" s="7"/>
      <c r="AE52" s="7"/>
      <c r="AF52" s="7"/>
      <c r="AG52" s="7"/>
      <c r="AH52" s="7"/>
      <c r="AI52" s="7"/>
      <c r="AJ52" s="8"/>
      <c r="AK52" s="7"/>
      <c r="AL52" s="7"/>
      <c r="AM52" s="8"/>
      <c r="AN52" s="8"/>
      <c r="AO52" s="7"/>
      <c r="AP52" s="8"/>
      <c r="AQ52" s="7"/>
      <c r="AR52" s="7"/>
      <c r="AS52" s="8"/>
      <c r="AT52" s="7"/>
      <c r="AU52" s="7"/>
      <c r="AV52" s="8"/>
      <c r="AW52" s="8"/>
      <c r="AX52" s="7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7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7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7"/>
      <c r="CU52" s="7"/>
      <c r="CV52" s="7"/>
      <c r="CW52" s="7"/>
      <c r="CX52" s="9"/>
      <c r="CY52" s="9"/>
      <c r="CZ52" s="7"/>
      <c r="DA52" s="10"/>
    </row>
    <row r="53" spans="1:105" ht="15.75" x14ac:dyDescent="0.3">
      <c r="A53" s="85"/>
      <c r="B53" s="86"/>
      <c r="C53" s="86"/>
      <c r="D53" s="86"/>
      <c r="E53" s="7"/>
      <c r="F53" s="8"/>
      <c r="G53" s="7"/>
      <c r="H53" s="8"/>
      <c r="I53" s="7"/>
      <c r="J53" s="7"/>
      <c r="K53" s="7"/>
      <c r="L53" s="7"/>
      <c r="M53" s="7"/>
      <c r="N53" s="7"/>
      <c r="O53" s="8"/>
      <c r="P53" s="7"/>
      <c r="Q53" s="7"/>
      <c r="R53" s="8"/>
      <c r="S53" s="8"/>
      <c r="T53" s="8"/>
      <c r="U53" s="7"/>
      <c r="V53" s="7"/>
      <c r="W53" s="7"/>
      <c r="X53" s="7"/>
      <c r="Y53" s="7"/>
      <c r="Z53" s="7"/>
      <c r="AA53" s="7"/>
      <c r="AB53" s="7"/>
      <c r="AC53" s="8"/>
      <c r="AD53" s="7"/>
      <c r="AE53" s="7"/>
      <c r="AF53" s="7"/>
      <c r="AG53" s="7"/>
      <c r="AH53" s="7"/>
      <c r="AI53" s="7"/>
      <c r="AJ53" s="8"/>
      <c r="AK53" s="7"/>
      <c r="AL53" s="7"/>
      <c r="AM53" s="8"/>
      <c r="AN53" s="8"/>
      <c r="AO53" s="7"/>
      <c r="AP53" s="8"/>
      <c r="AQ53" s="7"/>
      <c r="AR53" s="7"/>
      <c r="AS53" s="8"/>
      <c r="AT53" s="7"/>
      <c r="AU53" s="7"/>
      <c r="AV53" s="8"/>
      <c r="AW53" s="8"/>
      <c r="AX53" s="7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7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7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7"/>
      <c r="CU53" s="7"/>
      <c r="CV53" s="7"/>
      <c r="CW53" s="7"/>
      <c r="CX53" s="9"/>
      <c r="CY53" s="9"/>
      <c r="CZ53" s="7"/>
      <c r="DA53" s="10"/>
    </row>
    <row r="54" spans="1:105" ht="15.75" x14ac:dyDescent="0.3">
      <c r="A54" s="85"/>
      <c r="B54" s="86"/>
      <c r="C54" s="86"/>
      <c r="D54" s="87"/>
      <c r="E54" s="7"/>
      <c r="F54" s="8"/>
      <c r="G54" s="7"/>
      <c r="H54" s="8"/>
      <c r="I54" s="7"/>
      <c r="J54" s="7"/>
      <c r="K54" s="7"/>
      <c r="L54" s="7"/>
      <c r="M54" s="7"/>
      <c r="N54" s="7"/>
      <c r="O54" s="8"/>
      <c r="P54" s="7"/>
      <c r="Q54" s="7"/>
      <c r="R54" s="8"/>
      <c r="S54" s="8"/>
      <c r="T54" s="8"/>
      <c r="U54" s="7"/>
      <c r="V54" s="7"/>
      <c r="W54" s="7"/>
      <c r="X54" s="7"/>
      <c r="Y54" s="7"/>
      <c r="Z54" s="7"/>
      <c r="AA54" s="7"/>
      <c r="AB54" s="7"/>
      <c r="AC54" s="8"/>
      <c r="AD54" s="7"/>
      <c r="AE54" s="7"/>
      <c r="AF54" s="7"/>
      <c r="AG54" s="7"/>
      <c r="AH54" s="7"/>
      <c r="AI54" s="7"/>
      <c r="AJ54" s="8"/>
      <c r="AK54" s="7"/>
      <c r="AL54" s="7"/>
      <c r="AM54" s="8"/>
      <c r="AN54" s="8"/>
      <c r="AO54" s="7"/>
      <c r="AP54" s="8"/>
      <c r="AQ54" s="7"/>
      <c r="AR54" s="7"/>
      <c r="AS54" s="8"/>
      <c r="AT54" s="7"/>
      <c r="AU54" s="7"/>
      <c r="AV54" s="8"/>
      <c r="AW54" s="8"/>
      <c r="AX54" s="7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7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7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7"/>
      <c r="CU54" s="7"/>
      <c r="CV54" s="7"/>
      <c r="CW54" s="7"/>
      <c r="CX54" s="9"/>
      <c r="CY54" s="9"/>
      <c r="CZ54" s="7"/>
      <c r="DA54" s="10"/>
    </row>
    <row r="55" spans="1:105" ht="15.75" x14ac:dyDescent="0.3">
      <c r="A55" s="85"/>
      <c r="B55" s="86"/>
      <c r="C55" s="86"/>
      <c r="D55" s="87"/>
      <c r="E55" s="7"/>
      <c r="F55" s="8"/>
      <c r="G55" s="7"/>
      <c r="H55" s="8"/>
      <c r="I55" s="7"/>
      <c r="J55" s="7"/>
      <c r="K55" s="7"/>
      <c r="L55" s="7"/>
      <c r="M55" s="7"/>
      <c r="N55" s="7"/>
      <c r="O55" s="8"/>
      <c r="P55" s="7"/>
      <c r="Q55" s="7"/>
      <c r="R55" s="8"/>
      <c r="S55" s="8"/>
      <c r="T55" s="8"/>
      <c r="U55" s="7"/>
      <c r="V55" s="7"/>
      <c r="W55" s="7"/>
      <c r="X55" s="7"/>
      <c r="Y55" s="7"/>
      <c r="Z55" s="7"/>
      <c r="AA55" s="7"/>
      <c r="AB55" s="7"/>
      <c r="AC55" s="8"/>
      <c r="AD55" s="7"/>
      <c r="AE55" s="7"/>
      <c r="AF55" s="7"/>
      <c r="AG55" s="7"/>
      <c r="AH55" s="7"/>
      <c r="AI55" s="7"/>
      <c r="AJ55" s="8"/>
      <c r="AK55" s="7"/>
      <c r="AL55" s="7"/>
      <c r="AM55" s="8"/>
      <c r="AN55" s="8"/>
      <c r="AO55" s="7"/>
      <c r="AP55" s="8"/>
      <c r="AQ55" s="7"/>
      <c r="AR55" s="7"/>
      <c r="AS55" s="8"/>
      <c r="AT55" s="7"/>
      <c r="AU55" s="7"/>
      <c r="AV55" s="8"/>
      <c r="AW55" s="8"/>
      <c r="AX55" s="7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7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7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7"/>
      <c r="CU55" s="7"/>
      <c r="CV55" s="7"/>
      <c r="CW55" s="7"/>
      <c r="CX55" s="9"/>
      <c r="CY55" s="9"/>
      <c r="CZ55" s="7"/>
      <c r="DA55" s="10"/>
    </row>
    <row r="56" spans="1:105" ht="15.75" x14ac:dyDescent="0.3">
      <c r="A56" s="85"/>
      <c r="B56" s="86"/>
      <c r="C56" s="86"/>
      <c r="D56" s="88"/>
      <c r="E56" s="7"/>
      <c r="F56" s="8"/>
      <c r="G56" s="7"/>
      <c r="H56" s="8"/>
      <c r="I56" s="7"/>
      <c r="J56" s="7"/>
      <c r="K56" s="7"/>
      <c r="L56" s="7"/>
      <c r="M56" s="7"/>
      <c r="N56" s="7"/>
      <c r="O56" s="8"/>
      <c r="P56" s="7"/>
      <c r="Q56" s="7"/>
      <c r="R56" s="8"/>
      <c r="S56" s="8"/>
      <c r="T56" s="8"/>
      <c r="U56" s="7"/>
      <c r="V56" s="7"/>
      <c r="W56" s="7"/>
      <c r="X56" s="7"/>
      <c r="Y56" s="7"/>
      <c r="Z56" s="7"/>
      <c r="AA56" s="7"/>
      <c r="AB56" s="7"/>
      <c r="AC56" s="8"/>
      <c r="AD56" s="7"/>
      <c r="AE56" s="7"/>
      <c r="AF56" s="7"/>
      <c r="AG56" s="7"/>
      <c r="AH56" s="7"/>
      <c r="AI56" s="7"/>
      <c r="AJ56" s="8"/>
      <c r="AK56" s="7"/>
      <c r="AL56" s="7"/>
      <c r="AM56" s="8"/>
      <c r="AN56" s="8"/>
      <c r="AO56" s="7"/>
      <c r="AP56" s="8"/>
      <c r="AQ56" s="7"/>
      <c r="AR56" s="7"/>
      <c r="AS56" s="8"/>
      <c r="AT56" s="7"/>
      <c r="AU56" s="7"/>
      <c r="AV56" s="8"/>
      <c r="AW56" s="8"/>
      <c r="AX56" s="7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7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7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7"/>
      <c r="CU56" s="7"/>
      <c r="CV56" s="7"/>
      <c r="CW56" s="7"/>
      <c r="CX56" s="9"/>
      <c r="CY56" s="9"/>
      <c r="CZ56" s="7"/>
      <c r="DA56" s="10"/>
    </row>
    <row r="57" spans="1:105" ht="15.75" x14ac:dyDescent="0.3">
      <c r="A57" s="85"/>
      <c r="B57" s="86"/>
      <c r="C57" s="86"/>
      <c r="D57" s="88"/>
      <c r="E57" s="7"/>
      <c r="F57" s="8"/>
      <c r="G57" s="7"/>
      <c r="H57" s="8"/>
      <c r="I57" s="7"/>
      <c r="J57" s="7"/>
      <c r="K57" s="7"/>
      <c r="L57" s="7"/>
      <c r="M57" s="7"/>
      <c r="N57" s="7"/>
      <c r="O57" s="8"/>
      <c r="P57" s="7"/>
      <c r="Q57" s="7"/>
      <c r="R57" s="8"/>
      <c r="S57" s="8"/>
      <c r="T57" s="8"/>
      <c r="U57" s="7"/>
      <c r="V57" s="7"/>
      <c r="W57" s="7"/>
      <c r="X57" s="7"/>
      <c r="Y57" s="7"/>
      <c r="Z57" s="7"/>
      <c r="AA57" s="7"/>
      <c r="AB57" s="7"/>
      <c r="AC57" s="8"/>
      <c r="AD57" s="7"/>
      <c r="AE57" s="7"/>
      <c r="AF57" s="7"/>
      <c r="AG57" s="7"/>
      <c r="AH57" s="7"/>
      <c r="AI57" s="7"/>
      <c r="AJ57" s="8"/>
      <c r="AK57" s="7"/>
      <c r="AL57" s="7"/>
      <c r="AM57" s="8"/>
      <c r="AN57" s="8"/>
      <c r="AO57" s="7"/>
      <c r="AP57" s="8"/>
      <c r="AQ57" s="7"/>
      <c r="AR57" s="7"/>
      <c r="AS57" s="8"/>
      <c r="AT57" s="7"/>
      <c r="AU57" s="7"/>
      <c r="AV57" s="8"/>
      <c r="AW57" s="8"/>
      <c r="AX57" s="7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7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7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7"/>
      <c r="CU57" s="7"/>
      <c r="CV57" s="7"/>
      <c r="CW57" s="7"/>
      <c r="CX57" s="9"/>
      <c r="CY57" s="9"/>
      <c r="CZ57" s="7"/>
      <c r="DA57" s="10"/>
    </row>
    <row r="58" spans="1:105" ht="15.75" x14ac:dyDescent="0.3">
      <c r="A58" s="85"/>
      <c r="B58" s="86"/>
      <c r="C58" s="86"/>
      <c r="D58" s="89"/>
      <c r="E58" s="7"/>
      <c r="F58" s="8"/>
      <c r="G58" s="7"/>
      <c r="H58" s="8"/>
      <c r="I58" s="7"/>
      <c r="J58" s="7"/>
      <c r="K58" s="7"/>
      <c r="L58" s="7"/>
      <c r="M58" s="7"/>
      <c r="N58" s="7"/>
      <c r="O58" s="8"/>
      <c r="P58" s="7"/>
      <c r="Q58" s="7"/>
      <c r="R58" s="8"/>
      <c r="S58" s="8"/>
      <c r="T58" s="8"/>
      <c r="U58" s="7"/>
      <c r="V58" s="7"/>
      <c r="W58" s="7"/>
      <c r="X58" s="7"/>
      <c r="Y58" s="7"/>
      <c r="Z58" s="7"/>
      <c r="AA58" s="7"/>
      <c r="AB58" s="7"/>
      <c r="AC58" s="8"/>
      <c r="AD58" s="7"/>
      <c r="AE58" s="7"/>
      <c r="AF58" s="7"/>
      <c r="AG58" s="7"/>
      <c r="AH58" s="7"/>
      <c r="AI58" s="7"/>
      <c r="AJ58" s="8"/>
      <c r="AK58" s="7"/>
      <c r="AL58" s="7"/>
      <c r="AM58" s="8"/>
      <c r="AN58" s="8"/>
      <c r="AO58" s="7"/>
      <c r="AP58" s="8"/>
      <c r="AQ58" s="7"/>
      <c r="AR58" s="7"/>
      <c r="AS58" s="8"/>
      <c r="AT58" s="7"/>
      <c r="AU58" s="7"/>
      <c r="AV58" s="8"/>
      <c r="AW58" s="8"/>
      <c r="AX58" s="7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7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7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7"/>
      <c r="CU58" s="7"/>
      <c r="CV58" s="7"/>
      <c r="CW58" s="7"/>
      <c r="CX58" s="9"/>
      <c r="CY58" s="9"/>
      <c r="CZ58" s="7"/>
      <c r="DA58" s="10"/>
    </row>
    <row r="59" spans="1:105" ht="15.75" x14ac:dyDescent="0.3">
      <c r="A59" s="85"/>
      <c r="B59" s="86"/>
      <c r="C59" s="86"/>
      <c r="D59" s="89"/>
      <c r="E59" s="7"/>
      <c r="F59" s="8"/>
      <c r="G59" s="7"/>
      <c r="H59" s="8"/>
      <c r="I59" s="7"/>
      <c r="J59" s="7"/>
      <c r="K59" s="7"/>
      <c r="L59" s="7"/>
      <c r="M59" s="7"/>
      <c r="N59" s="7"/>
      <c r="O59" s="8"/>
      <c r="P59" s="7"/>
      <c r="Q59" s="7"/>
      <c r="R59" s="8"/>
      <c r="S59" s="8"/>
      <c r="T59" s="8"/>
      <c r="U59" s="7"/>
      <c r="V59" s="7"/>
      <c r="W59" s="7"/>
      <c r="X59" s="7"/>
      <c r="Y59" s="7"/>
      <c r="Z59" s="7"/>
      <c r="AA59" s="7"/>
      <c r="AB59" s="7"/>
      <c r="AC59" s="8"/>
      <c r="AD59" s="7"/>
      <c r="AE59" s="7"/>
      <c r="AF59" s="7"/>
      <c r="AG59" s="7"/>
      <c r="AH59" s="7"/>
      <c r="AI59" s="7"/>
      <c r="AJ59" s="8"/>
      <c r="AK59" s="7"/>
      <c r="AL59" s="7"/>
      <c r="AM59" s="8"/>
      <c r="AN59" s="8"/>
      <c r="AO59" s="7"/>
      <c r="AP59" s="8"/>
      <c r="AQ59" s="7"/>
      <c r="AR59" s="7"/>
      <c r="AS59" s="8"/>
      <c r="AT59" s="7"/>
      <c r="AU59" s="7"/>
      <c r="AV59" s="8"/>
      <c r="AW59" s="8"/>
      <c r="AX59" s="7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7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7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7"/>
      <c r="CU59" s="7"/>
      <c r="CV59" s="7"/>
      <c r="CW59" s="7"/>
      <c r="CX59" s="9"/>
      <c r="CY59" s="9"/>
      <c r="CZ59" s="7"/>
      <c r="DA59" s="10"/>
    </row>
    <row r="60" spans="1:105" ht="15.75" x14ac:dyDescent="0.3">
      <c r="A60" s="85"/>
      <c r="B60" s="86"/>
      <c r="C60" s="86"/>
      <c r="D60" s="89"/>
      <c r="E60" s="7"/>
      <c r="F60" s="8"/>
      <c r="G60" s="7"/>
      <c r="H60" s="8"/>
      <c r="I60" s="7"/>
      <c r="J60" s="7"/>
      <c r="K60" s="7"/>
      <c r="L60" s="7"/>
      <c r="M60" s="7"/>
      <c r="N60" s="7"/>
      <c r="O60" s="8"/>
      <c r="P60" s="7"/>
      <c r="Q60" s="7"/>
      <c r="R60" s="8"/>
      <c r="S60" s="8"/>
      <c r="T60" s="8"/>
      <c r="U60" s="7"/>
      <c r="V60" s="7"/>
      <c r="W60" s="7"/>
      <c r="X60" s="7"/>
      <c r="Y60" s="7"/>
      <c r="Z60" s="7"/>
      <c r="AA60" s="7"/>
      <c r="AB60" s="7"/>
      <c r="AC60" s="8"/>
      <c r="AD60" s="7"/>
      <c r="AE60" s="7"/>
      <c r="AF60" s="7"/>
      <c r="AG60" s="7"/>
      <c r="AH60" s="7"/>
      <c r="AI60" s="7"/>
      <c r="AJ60" s="8"/>
      <c r="AK60" s="7"/>
      <c r="AL60" s="7"/>
      <c r="AM60" s="8"/>
      <c r="AN60" s="8"/>
      <c r="AO60" s="7"/>
      <c r="AP60" s="8"/>
      <c r="AQ60" s="7"/>
      <c r="AR60" s="7"/>
      <c r="AS60" s="8"/>
      <c r="AT60" s="7"/>
      <c r="AU60" s="7"/>
      <c r="AV60" s="8"/>
      <c r="AW60" s="8"/>
      <c r="AX60" s="7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7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7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7"/>
      <c r="CU60" s="7"/>
      <c r="CV60" s="7"/>
      <c r="CW60" s="7"/>
      <c r="CX60" s="9"/>
      <c r="CY60" s="9"/>
      <c r="CZ60" s="7"/>
      <c r="DA60" s="10"/>
    </row>
    <row r="61" spans="1:105" x14ac:dyDescent="0.25">
      <c r="A61" s="7"/>
      <c r="B61" s="10"/>
      <c r="C61" s="47"/>
      <c r="D61" s="7"/>
      <c r="E61" s="7"/>
      <c r="F61" s="8"/>
      <c r="G61" s="7"/>
      <c r="H61" s="8"/>
      <c r="I61" s="7"/>
      <c r="J61" s="7"/>
      <c r="K61" s="7"/>
      <c r="L61" s="7"/>
      <c r="M61" s="7"/>
      <c r="N61" s="7"/>
      <c r="O61" s="8"/>
      <c r="P61" s="7"/>
      <c r="Q61" s="7"/>
      <c r="R61" s="8"/>
      <c r="S61" s="8"/>
      <c r="T61" s="8"/>
      <c r="U61" s="7"/>
      <c r="V61" s="7"/>
      <c r="W61" s="7"/>
      <c r="X61" s="7"/>
      <c r="Y61" s="7"/>
      <c r="Z61" s="7"/>
      <c r="AA61" s="7"/>
      <c r="AB61" s="7"/>
      <c r="AC61" s="8"/>
      <c r="AD61" s="7"/>
      <c r="AE61" s="7"/>
      <c r="AF61" s="7"/>
      <c r="AG61" s="7"/>
      <c r="AH61" s="7"/>
      <c r="AI61" s="7"/>
      <c r="AJ61" s="8"/>
      <c r="AK61" s="7"/>
      <c r="AL61" s="7"/>
      <c r="AM61" s="8"/>
      <c r="AN61" s="8"/>
      <c r="AO61" s="7"/>
      <c r="AP61" s="8"/>
      <c r="AQ61" s="7"/>
      <c r="AR61" s="7"/>
      <c r="AS61" s="8"/>
      <c r="AT61" s="7"/>
      <c r="AU61" s="7"/>
      <c r="AV61" s="8"/>
      <c r="AW61" s="8"/>
      <c r="AX61" s="7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7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7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90"/>
      <c r="CT61" s="91"/>
      <c r="CU61" s="7"/>
      <c r="CV61" s="7"/>
      <c r="CW61" s="7"/>
      <c r="CX61" s="9"/>
      <c r="CY61" s="9"/>
      <c r="CZ61" s="7"/>
      <c r="DA61" s="10"/>
    </row>
    <row r="62" spans="1:105" x14ac:dyDescent="0.25">
      <c r="A62" s="7"/>
      <c r="B62" s="10"/>
      <c r="C62" s="47"/>
      <c r="D62" s="7"/>
      <c r="E62" s="7"/>
      <c r="F62" s="7"/>
      <c r="G62" s="7"/>
      <c r="H62" s="8"/>
      <c r="I62" s="7"/>
      <c r="J62" s="7"/>
      <c r="K62" s="7"/>
      <c r="L62" s="7"/>
      <c r="M62" s="7"/>
      <c r="N62" s="7"/>
      <c r="O62" s="8"/>
      <c r="P62" s="7"/>
      <c r="Q62" s="7"/>
      <c r="R62" s="8"/>
      <c r="S62" s="8"/>
      <c r="T62" s="8"/>
      <c r="U62" s="7"/>
      <c r="V62" s="7"/>
      <c r="W62" s="7"/>
      <c r="X62" s="7"/>
      <c r="Y62" s="7"/>
      <c r="Z62" s="7"/>
      <c r="AA62" s="7"/>
      <c r="AB62" s="7"/>
      <c r="AC62" s="8"/>
      <c r="AD62" s="7"/>
      <c r="AE62" s="7"/>
      <c r="AF62" s="7"/>
      <c r="AG62" s="7"/>
      <c r="AH62" s="7"/>
      <c r="AI62" s="7"/>
      <c r="AJ62" s="8"/>
      <c r="AK62" s="7"/>
      <c r="AL62" s="7"/>
      <c r="AM62" s="8"/>
      <c r="AN62" s="8"/>
      <c r="AO62" s="7"/>
      <c r="AP62" s="8"/>
      <c r="AQ62" s="7"/>
      <c r="AR62" s="7"/>
      <c r="AS62" s="8"/>
      <c r="AT62" s="7"/>
      <c r="AU62" s="7"/>
      <c r="AV62" s="8"/>
      <c r="AW62" s="8"/>
      <c r="AX62" s="7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7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7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7"/>
      <c r="CU62" s="7"/>
      <c r="CV62" s="7"/>
      <c r="CW62" s="7"/>
      <c r="CX62" s="9"/>
      <c r="CY62" s="9"/>
      <c r="CZ62" s="7"/>
      <c r="DA62" s="10"/>
    </row>
    <row r="63" spans="1:105" x14ac:dyDescent="0.25">
      <c r="A63" s="7"/>
      <c r="B63" s="10"/>
      <c r="C63" s="47"/>
      <c r="D63" s="7"/>
      <c r="E63" s="7"/>
      <c r="F63" s="7"/>
      <c r="G63" s="7"/>
      <c r="H63" s="8"/>
      <c r="I63" s="7"/>
      <c r="J63" s="7"/>
      <c r="K63" s="7"/>
      <c r="L63" s="7"/>
      <c r="M63" s="7"/>
      <c r="N63" s="7"/>
      <c r="O63" s="8"/>
      <c r="P63" s="7"/>
      <c r="Q63" s="7"/>
      <c r="R63" s="8"/>
      <c r="S63" s="8"/>
      <c r="T63" s="8"/>
      <c r="U63" s="7"/>
      <c r="V63" s="7"/>
      <c r="W63" s="7"/>
      <c r="X63" s="7"/>
      <c r="Y63" s="7"/>
      <c r="Z63" s="7"/>
      <c r="AA63" s="7"/>
      <c r="AB63" s="7"/>
      <c r="AC63" s="8"/>
      <c r="AD63" s="7"/>
      <c r="AE63" s="7"/>
      <c r="AF63" s="7"/>
      <c r="AG63" s="7"/>
      <c r="AH63" s="7"/>
      <c r="AI63" s="7"/>
      <c r="AJ63" s="8"/>
      <c r="AK63" s="7"/>
      <c r="AL63" s="7"/>
      <c r="AM63" s="8"/>
      <c r="AN63" s="8"/>
      <c r="AO63" s="7"/>
      <c r="AP63" s="8"/>
      <c r="AQ63" s="7"/>
      <c r="AR63" s="7"/>
      <c r="AS63" s="8"/>
      <c r="AT63" s="7"/>
      <c r="AU63" s="7"/>
      <c r="AV63" s="8"/>
      <c r="AW63" s="8"/>
      <c r="AX63" s="7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7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7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7"/>
      <c r="CU63" s="7"/>
      <c r="CV63" s="7"/>
      <c r="CW63" s="7"/>
      <c r="CX63" s="9"/>
      <c r="CY63" s="9"/>
      <c r="CZ63" s="7"/>
      <c r="DA63" s="10"/>
    </row>
    <row r="64" spans="1:105" x14ac:dyDescent="0.25">
      <c r="A64" s="82"/>
      <c r="B64" s="83"/>
      <c r="C64" s="92"/>
      <c r="D64" s="84"/>
      <c r="E64" s="84"/>
      <c r="F64" s="7"/>
      <c r="G64" s="7"/>
      <c r="H64" s="8"/>
      <c r="I64" s="7"/>
      <c r="J64" s="7"/>
      <c r="K64" s="7"/>
      <c r="L64" s="7"/>
      <c r="M64" s="7"/>
      <c r="N64" s="7"/>
      <c r="O64" s="8"/>
      <c r="P64" s="7"/>
      <c r="Q64" s="7"/>
      <c r="R64" s="8"/>
      <c r="S64" s="8"/>
      <c r="T64" s="8"/>
      <c r="U64" s="7"/>
      <c r="V64" s="7"/>
      <c r="W64" s="7"/>
      <c r="X64" s="7"/>
      <c r="Y64" s="7"/>
      <c r="Z64" s="7"/>
      <c r="AA64" s="7"/>
      <c r="AB64" s="7"/>
      <c r="AC64" s="8"/>
      <c r="AD64" s="7"/>
      <c r="AE64" s="7"/>
      <c r="AF64" s="7"/>
      <c r="AG64" s="7"/>
      <c r="AH64" s="7"/>
      <c r="AI64" s="7"/>
      <c r="AJ64" s="8"/>
      <c r="AK64" s="7"/>
      <c r="AL64" s="7"/>
      <c r="AM64" s="8"/>
      <c r="AN64" s="8"/>
      <c r="AO64" s="7"/>
      <c r="AP64" s="8"/>
      <c r="AQ64" s="7"/>
      <c r="AR64" s="7"/>
      <c r="AS64" s="8"/>
      <c r="AT64" s="7"/>
      <c r="AU64" s="7"/>
      <c r="AV64" s="8"/>
      <c r="AW64" s="8"/>
      <c r="AX64" s="7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7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7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7"/>
      <c r="CU64" s="7"/>
      <c r="CV64" s="7"/>
      <c r="CW64" s="7"/>
      <c r="CX64" s="9"/>
      <c r="CY64" s="9"/>
      <c r="CZ64" s="7"/>
      <c r="DA64" s="10"/>
    </row>
    <row r="65" spans="1:105" ht="15.75" x14ac:dyDescent="0.3">
      <c r="A65" s="86"/>
      <c r="B65" s="86"/>
      <c r="C65" s="93"/>
      <c r="D65" s="87"/>
      <c r="E65" s="87"/>
      <c r="F65" s="7"/>
      <c r="G65" s="7"/>
      <c r="H65" s="8"/>
      <c r="I65" s="7"/>
      <c r="J65" s="7"/>
      <c r="K65" s="7"/>
      <c r="L65" s="7"/>
      <c r="M65" s="7"/>
      <c r="N65" s="7"/>
      <c r="O65" s="8"/>
      <c r="P65" s="7"/>
      <c r="Q65" s="7"/>
      <c r="R65" s="8"/>
      <c r="S65" s="8"/>
      <c r="T65" s="8"/>
      <c r="U65" s="7"/>
      <c r="V65" s="7"/>
      <c r="W65" s="7"/>
      <c r="X65" s="7"/>
      <c r="Y65" s="7"/>
      <c r="Z65" s="7"/>
      <c r="AA65" s="7"/>
      <c r="AB65" s="7"/>
      <c r="AC65" s="8"/>
      <c r="AD65" s="7"/>
      <c r="AE65" s="7"/>
      <c r="AF65" s="7"/>
      <c r="AG65" s="7"/>
      <c r="AH65" s="7"/>
      <c r="AI65" s="7"/>
      <c r="AJ65" s="8"/>
      <c r="AK65" s="7"/>
      <c r="AL65" s="7"/>
      <c r="AM65" s="8"/>
      <c r="AN65" s="8"/>
      <c r="AO65" s="7"/>
      <c r="AP65" s="8"/>
      <c r="AQ65" s="7"/>
      <c r="AR65" s="7"/>
      <c r="AS65" s="8"/>
      <c r="AT65" s="7"/>
      <c r="AU65" s="7"/>
      <c r="AV65" s="8"/>
      <c r="AW65" s="8"/>
      <c r="AX65" s="7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7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7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7"/>
      <c r="CU65" s="7"/>
      <c r="CV65" s="7"/>
      <c r="CW65" s="7"/>
      <c r="CX65" s="9"/>
      <c r="CY65" s="9"/>
      <c r="CZ65" s="7"/>
      <c r="DA65" s="10"/>
    </row>
    <row r="66" spans="1:105" ht="15.75" x14ac:dyDescent="0.3">
      <c r="A66" s="86"/>
      <c r="B66" s="86"/>
      <c r="C66" s="93"/>
      <c r="D66" s="87"/>
      <c r="E66" s="87"/>
      <c r="F66" s="7"/>
      <c r="G66" s="7"/>
      <c r="H66" s="8"/>
      <c r="I66" s="7"/>
      <c r="J66" s="7"/>
      <c r="K66" s="7"/>
      <c r="L66" s="7"/>
      <c r="M66" s="7"/>
      <c r="N66" s="7"/>
      <c r="O66" s="8"/>
      <c r="P66" s="7"/>
      <c r="Q66" s="7"/>
      <c r="R66" s="8"/>
      <c r="S66" s="8"/>
      <c r="T66" s="8"/>
      <c r="U66" s="7"/>
      <c r="V66" s="7"/>
      <c r="W66" s="7"/>
      <c r="X66" s="7"/>
      <c r="Y66" s="7"/>
      <c r="Z66" s="7"/>
      <c r="AA66" s="7"/>
      <c r="AB66" s="7"/>
      <c r="AC66" s="8"/>
      <c r="AD66" s="7"/>
      <c r="AE66" s="7"/>
      <c r="AF66" s="7"/>
      <c r="AG66" s="7"/>
      <c r="AH66" s="7"/>
      <c r="AI66" s="7"/>
      <c r="AJ66" s="8"/>
      <c r="AK66" s="7"/>
      <c r="AL66" s="7"/>
      <c r="AM66" s="8"/>
      <c r="AN66" s="8"/>
      <c r="AO66" s="7"/>
      <c r="AP66" s="8"/>
      <c r="AQ66" s="7"/>
      <c r="AR66" s="7"/>
      <c r="AS66" s="8"/>
      <c r="AT66" s="7"/>
      <c r="AU66" s="7"/>
      <c r="AV66" s="8"/>
      <c r="AW66" s="8"/>
      <c r="AX66" s="7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7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7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7"/>
      <c r="CU66" s="7"/>
      <c r="CV66" s="7"/>
      <c r="CW66" s="7"/>
      <c r="CX66" s="9"/>
      <c r="CY66" s="9"/>
      <c r="CZ66" s="7"/>
      <c r="DA66" s="10"/>
    </row>
    <row r="67" spans="1:105" ht="15.75" x14ac:dyDescent="0.3">
      <c r="A67" s="86"/>
      <c r="B67" s="86"/>
      <c r="C67" s="93"/>
      <c r="D67" s="88"/>
      <c r="E67" s="88"/>
      <c r="F67" s="7"/>
      <c r="G67" s="7"/>
      <c r="H67" s="8"/>
      <c r="I67" s="7"/>
      <c r="J67" s="7"/>
      <c r="K67" s="7"/>
      <c r="L67" s="7"/>
      <c r="M67" s="7"/>
      <c r="N67" s="7"/>
      <c r="O67" s="8"/>
      <c r="P67" s="7"/>
      <c r="Q67" s="7"/>
      <c r="R67" s="8"/>
      <c r="S67" s="8"/>
      <c r="T67" s="8"/>
      <c r="U67" s="7"/>
      <c r="V67" s="7"/>
      <c r="W67" s="7"/>
      <c r="X67" s="7"/>
      <c r="Y67" s="7"/>
      <c r="Z67" s="7"/>
      <c r="AA67" s="7"/>
      <c r="AB67" s="7"/>
      <c r="AC67" s="8"/>
      <c r="AD67" s="7"/>
      <c r="AE67" s="7"/>
      <c r="AF67" s="7"/>
      <c r="AG67" s="7"/>
      <c r="AH67" s="7"/>
      <c r="AI67" s="7"/>
      <c r="AJ67" s="8"/>
      <c r="AK67" s="7"/>
      <c r="AL67" s="7"/>
      <c r="AM67" s="8"/>
      <c r="AN67" s="8"/>
      <c r="AO67" s="7"/>
      <c r="AP67" s="8"/>
      <c r="AQ67" s="7"/>
      <c r="AR67" s="7"/>
      <c r="AS67" s="8"/>
      <c r="AT67" s="7"/>
      <c r="AU67" s="7"/>
      <c r="AV67" s="8"/>
      <c r="AW67" s="8"/>
      <c r="AX67" s="7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7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7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7"/>
      <c r="CU67" s="7"/>
      <c r="CV67" s="7"/>
      <c r="CW67" s="7"/>
      <c r="CX67" s="9"/>
      <c r="CY67" s="9"/>
      <c r="CZ67" s="7"/>
      <c r="DA67" s="10"/>
    </row>
    <row r="68" spans="1:105" ht="15.75" x14ac:dyDescent="0.3">
      <c r="A68" s="86"/>
      <c r="B68" s="86"/>
      <c r="C68" s="93"/>
      <c r="D68" s="88"/>
      <c r="E68" s="88"/>
      <c r="F68" s="7"/>
      <c r="G68" s="7"/>
      <c r="H68" s="8"/>
      <c r="I68" s="7"/>
      <c r="J68" s="7"/>
      <c r="K68" s="7"/>
      <c r="L68" s="7"/>
      <c r="M68" s="7"/>
      <c r="N68" s="7"/>
      <c r="O68" s="8"/>
      <c r="P68" s="7"/>
      <c r="Q68" s="7"/>
      <c r="R68" s="8"/>
      <c r="S68" s="8"/>
      <c r="T68" s="8"/>
      <c r="U68" s="7"/>
      <c r="V68" s="7"/>
      <c r="W68" s="7"/>
      <c r="X68" s="7"/>
      <c r="Y68" s="7"/>
      <c r="Z68" s="7"/>
      <c r="AA68" s="7"/>
      <c r="AB68" s="7"/>
      <c r="AC68" s="8"/>
      <c r="AD68" s="7"/>
      <c r="AE68" s="7"/>
      <c r="AF68" s="7"/>
      <c r="AG68" s="7"/>
      <c r="AH68" s="7"/>
      <c r="AI68" s="7"/>
      <c r="AJ68" s="8"/>
      <c r="AK68" s="7"/>
      <c r="AL68" s="7"/>
      <c r="AM68" s="8"/>
      <c r="AN68" s="8"/>
      <c r="AO68" s="7"/>
      <c r="AP68" s="8"/>
      <c r="AQ68" s="7"/>
      <c r="AR68" s="7"/>
      <c r="AS68" s="8"/>
      <c r="AT68" s="7"/>
      <c r="AU68" s="7"/>
      <c r="AV68" s="8"/>
      <c r="AW68" s="8"/>
      <c r="AX68" s="7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7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7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7"/>
      <c r="CU68" s="7"/>
      <c r="CV68" s="7"/>
      <c r="CW68" s="7"/>
      <c r="CX68" s="9"/>
      <c r="CY68" s="9"/>
      <c r="CZ68" s="7"/>
      <c r="DA68" s="10"/>
    </row>
  </sheetData>
  <mergeCells count="73">
    <mergeCell ref="Y3:AA3"/>
    <mergeCell ref="A1:C2"/>
    <mergeCell ref="A3:A4"/>
    <mergeCell ref="B3:B4"/>
    <mergeCell ref="C3:C4"/>
    <mergeCell ref="D3:F3"/>
    <mergeCell ref="G3:I3"/>
    <mergeCell ref="J3:L3"/>
    <mergeCell ref="M3:O3"/>
    <mergeCell ref="P3:R3"/>
    <mergeCell ref="S3:U3"/>
    <mergeCell ref="V3:X3"/>
    <mergeCell ref="BI3:BK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H3"/>
    <mergeCell ref="CS3:CY3"/>
    <mergeCell ref="BL3:BN3"/>
    <mergeCell ref="BO3:BQ3"/>
    <mergeCell ref="BR3:BT3"/>
    <mergeCell ref="BU3:BW3"/>
    <mergeCell ref="BX3:BZ3"/>
    <mergeCell ref="CA3:CC3"/>
    <mergeCell ref="CD3:CF3"/>
    <mergeCell ref="CG3:CI3"/>
    <mergeCell ref="CJ3:CL3"/>
    <mergeCell ref="CM3:CO3"/>
    <mergeCell ref="CP3:CR3"/>
    <mergeCell ref="D45:F45"/>
    <mergeCell ref="G45:I45"/>
    <mergeCell ref="J45:L45"/>
    <mergeCell ref="M45:O45"/>
    <mergeCell ref="P45:R45"/>
    <mergeCell ref="AH45:AJ45"/>
    <mergeCell ref="CW24:CX24"/>
    <mergeCell ref="CW25:CX25"/>
    <mergeCell ref="CW26:CX26"/>
    <mergeCell ref="CW27:CX27"/>
    <mergeCell ref="CW28:CX28"/>
    <mergeCell ref="S45:U45"/>
    <mergeCell ref="V45:X45"/>
    <mergeCell ref="Y45:AA45"/>
    <mergeCell ref="AB45:AD45"/>
    <mergeCell ref="AE45:AG45"/>
    <mergeCell ref="BR45:BT45"/>
    <mergeCell ref="AK45:AM45"/>
    <mergeCell ref="AN45:AP45"/>
    <mergeCell ref="AQ45:AS45"/>
    <mergeCell ref="AT45:AV45"/>
    <mergeCell ref="AW45:AY45"/>
    <mergeCell ref="AZ45:BB45"/>
    <mergeCell ref="BC45:BE45"/>
    <mergeCell ref="BF45:BH45"/>
    <mergeCell ref="BI45:BK45"/>
    <mergeCell ref="BL45:BN45"/>
    <mergeCell ref="BO45:BQ45"/>
    <mergeCell ref="CM45:CO45"/>
    <mergeCell ref="CP45:CR45"/>
    <mergeCell ref="CS45:CY45"/>
    <mergeCell ref="BU45:BW45"/>
    <mergeCell ref="BX45:BZ45"/>
    <mergeCell ref="CA45:CC45"/>
    <mergeCell ref="CD45:CF45"/>
    <mergeCell ref="CG45:CI45"/>
    <mergeCell ref="CJ45:CL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Nithish S.</dc:creator>
  <cp:lastModifiedBy>Nithish S.</cp:lastModifiedBy>
  <dcterms:created xsi:type="dcterms:W3CDTF">2026-01-30T20:11:23Z</dcterms:created>
  <dcterms:modified xsi:type="dcterms:W3CDTF">2026-01-30T20:12:38Z</dcterms:modified>
</cp:coreProperties>
</file>