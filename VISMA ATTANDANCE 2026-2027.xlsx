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01"/>
  <workbookPr filterPrivacy="1" defaultThemeVersion="124226"/>
  <xr:revisionPtr revIDLastSave="0" documentId="13_ncr:1_{D98FC56D-1A3E-46D5-9935-ADE4FFA6CDE0}" xr6:coauthVersionLast="43" xr6:coauthVersionMax="43" xr10:uidLastSave="{00000000-0000-0000-0000-000000000000}"/>
  <bookViews>
    <workbookView xWindow="-120" yWindow="-120" windowWidth="29040" windowHeight="15840" firstSheet="8" activeTab="8" xr2:uid="{00000000-000D-0000-FFFF-FFFF00000000}"/>
  </bookViews>
  <sheets>
    <sheet name="Augest -2024" sheetId="4" r:id="rId1"/>
    <sheet name="BILL-1" sheetId="2" state="hidden" r:id="rId2"/>
    <sheet name="BILL-2" sheetId="3" state="hidden" r:id="rId3"/>
    <sheet name="SEP-24" sheetId="6" r:id="rId4"/>
    <sheet name="Oct-24" sheetId="7" r:id="rId5"/>
    <sheet name="Nov-24" sheetId="8" r:id="rId6"/>
    <sheet name="Dec-24" sheetId="9" r:id="rId7"/>
    <sheet name="Sheet1" sheetId="12" r:id="rId8"/>
    <sheet name="MAY-26" sheetId="22" r:id="rId9"/>
  </sheets>
  <definedNames>
    <definedName name="_xlnm.Print_Area" localSheetId="0">'Augest -2024'!$A$1:$AS$88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O8" i="22" l="1"/>
  <c r="AO14" i="22"/>
  <c r="AO17" i="22"/>
  <c r="AO26" i="22"/>
  <c r="AO29" i="22"/>
  <c r="AO32" i="22"/>
  <c r="AO38" i="22"/>
  <c r="AN8" i="22"/>
  <c r="AN11" i="22"/>
  <c r="AN14" i="22"/>
  <c r="AN17" i="22"/>
  <c r="AN20" i="22"/>
  <c r="AN23" i="22"/>
  <c r="AN26" i="22"/>
  <c r="AN29" i="22"/>
  <c r="AN32" i="22"/>
  <c r="AN35" i="22"/>
  <c r="AN38" i="22"/>
  <c r="AN41" i="22"/>
  <c r="AM8" i="22"/>
  <c r="AM14" i="22"/>
  <c r="AM17" i="22"/>
  <c r="AM26" i="22"/>
  <c r="AM29" i="22"/>
  <c r="AM32" i="22"/>
  <c r="AM38" i="22"/>
  <c r="AQ46" i="22" l="1"/>
  <c r="AQ61" i="22"/>
  <c r="AQ64" i="22"/>
  <c r="AQ67" i="22"/>
  <c r="AQ70" i="22"/>
  <c r="AQ73" i="22"/>
  <c r="AQ76" i="22"/>
  <c r="AQ79" i="22"/>
  <c r="AQ82" i="22"/>
  <c r="AQ85" i="22"/>
  <c r="AQ88" i="22"/>
  <c r="AQ91" i="22"/>
  <c r="AQ94" i="22"/>
  <c r="AQ97" i="22"/>
  <c r="AQ100" i="22"/>
  <c r="AQ103" i="22"/>
  <c r="AQ58" i="22"/>
  <c r="AH94" i="22"/>
  <c r="AR94" i="22" s="1"/>
  <c r="AI49" i="22" l="1"/>
  <c r="AI52" i="22"/>
  <c r="AI46" i="22"/>
  <c r="AH49" i="22"/>
  <c r="AH52" i="22"/>
  <c r="AH46" i="22"/>
  <c r="AR46" i="22" s="1"/>
  <c r="AJ49" i="22"/>
  <c r="AJ52" i="22"/>
  <c r="AJ46" i="22"/>
  <c r="AJ61" i="22"/>
  <c r="AJ64" i="22"/>
  <c r="AJ67" i="22"/>
  <c r="AJ70" i="22"/>
  <c r="AJ73" i="22"/>
  <c r="AJ76" i="22"/>
  <c r="AJ79" i="22"/>
  <c r="AJ82" i="22"/>
  <c r="AJ85" i="22"/>
  <c r="AJ88" i="22"/>
  <c r="AJ91" i="22"/>
  <c r="AJ94" i="22"/>
  <c r="AJ97" i="22"/>
  <c r="AJ100" i="22"/>
  <c r="AJ103" i="22"/>
  <c r="AJ58" i="22"/>
  <c r="AI61" i="22"/>
  <c r="AI64" i="22"/>
  <c r="AI67" i="22"/>
  <c r="AI70" i="22"/>
  <c r="AI73" i="22"/>
  <c r="AI76" i="22"/>
  <c r="AI79" i="22"/>
  <c r="AI82" i="22"/>
  <c r="AI85" i="22"/>
  <c r="AI88" i="22"/>
  <c r="AI91" i="22"/>
  <c r="AI94" i="22"/>
  <c r="AI97" i="22"/>
  <c r="AI100" i="22"/>
  <c r="AI103" i="22"/>
  <c r="AI58" i="22"/>
  <c r="AH61" i="22"/>
  <c r="AR61" i="22" s="1"/>
  <c r="AH64" i="22"/>
  <c r="AR64" i="22" s="1"/>
  <c r="AH67" i="22"/>
  <c r="AR67" i="22" s="1"/>
  <c r="AH70" i="22"/>
  <c r="AR70" i="22" s="1"/>
  <c r="AH73" i="22"/>
  <c r="AR73" i="22" s="1"/>
  <c r="AH76" i="22"/>
  <c r="AR76" i="22" s="1"/>
  <c r="AH79" i="22"/>
  <c r="AR79" i="22" s="1"/>
  <c r="AH82" i="22"/>
  <c r="AR82" i="22" s="1"/>
  <c r="AH85" i="22"/>
  <c r="AR85" i="22" s="1"/>
  <c r="AH88" i="22"/>
  <c r="AR88" i="22" s="1"/>
  <c r="AH91" i="22"/>
  <c r="AR91" i="22" s="1"/>
  <c r="AH97" i="22"/>
  <c r="AR97" i="22" s="1"/>
  <c r="AH100" i="22"/>
  <c r="AR100" i="22" s="1"/>
  <c r="AH103" i="22"/>
  <c r="AR103" i="22" s="1"/>
  <c r="AH58" i="22"/>
  <c r="AR58" i="22" s="1"/>
  <c r="AR106" i="22" s="1"/>
  <c r="AN103" i="22" l="1"/>
  <c r="AL103" i="22"/>
  <c r="AN100" i="22"/>
  <c r="AL100" i="22"/>
  <c r="AN97" i="22"/>
  <c r="AL97" i="22"/>
  <c r="AJ8" i="22"/>
  <c r="AJ11" i="22"/>
  <c r="AJ14" i="22"/>
  <c r="AJ17" i="22"/>
  <c r="AJ20" i="22"/>
  <c r="AJ23" i="22"/>
  <c r="AJ26" i="22"/>
  <c r="AJ29" i="22"/>
  <c r="AJ32" i="22"/>
  <c r="AJ35" i="22"/>
  <c r="AJ38" i="22"/>
  <c r="AJ41" i="22"/>
  <c r="AI8" i="22"/>
  <c r="AI11" i="22"/>
  <c r="AI14" i="22"/>
  <c r="AI17" i="22"/>
  <c r="AI20" i="22"/>
  <c r="AI23" i="22"/>
  <c r="AI26" i="22"/>
  <c r="AI29" i="22"/>
  <c r="AI32" i="22"/>
  <c r="AI35" i="22"/>
  <c r="AI38" i="22"/>
  <c r="AI41" i="22"/>
  <c r="AI5" i="22"/>
  <c r="AH8" i="22"/>
  <c r="AH11" i="22"/>
  <c r="AM11" i="22" s="1"/>
  <c r="AO11" i="22" s="1"/>
  <c r="AH14" i="22"/>
  <c r="AH17" i="22"/>
  <c r="AH20" i="22"/>
  <c r="AM20" i="22" s="1"/>
  <c r="AO20" i="22" s="1"/>
  <c r="AH23" i="22"/>
  <c r="AM23" i="22" s="1"/>
  <c r="AO23" i="22" s="1"/>
  <c r="AH26" i="22"/>
  <c r="AH29" i="22"/>
  <c r="AH32" i="22"/>
  <c r="AH35" i="22"/>
  <c r="AH38" i="22"/>
  <c r="AH41" i="22"/>
  <c r="AM41" i="22" s="1"/>
  <c r="AO41" i="22" s="1"/>
  <c r="AH5" i="22"/>
  <c r="AJ5" i="22"/>
  <c r="AM103" i="22" l="1"/>
  <c r="AO103" i="22" s="1"/>
  <c r="AM100" i="22"/>
  <c r="AO100" i="22" s="1"/>
  <c r="AM97" i="22"/>
  <c r="AO97" i="22" s="1"/>
  <c r="AN52" i="22"/>
  <c r="AL52" i="22"/>
  <c r="AL5" i="22"/>
  <c r="AL8" i="22"/>
  <c r="AL11" i="22"/>
  <c r="AN94" i="22"/>
  <c r="AN91" i="22"/>
  <c r="AL91" i="22"/>
  <c r="AN88" i="22"/>
  <c r="AN85" i="22"/>
  <c r="AL85" i="22"/>
  <c r="AN82" i="22"/>
  <c r="AN79" i="22"/>
  <c r="AL79" i="22"/>
  <c r="AN76" i="22"/>
  <c r="AN73" i="22"/>
  <c r="AL73" i="22"/>
  <c r="AN70" i="22"/>
  <c r="AN67" i="22"/>
  <c r="AL67" i="22"/>
  <c r="AN64" i="22"/>
  <c r="AN61" i="22"/>
  <c r="AL61" i="22"/>
  <c r="AN58" i="22"/>
  <c r="AK55" i="22"/>
  <c r="AN49" i="22"/>
  <c r="AK44" i="22"/>
  <c r="AL41" i="22"/>
  <c r="AL38" i="22"/>
  <c r="AL35" i="22"/>
  <c r="AM35" i="22" s="1"/>
  <c r="AO35" i="22" s="1"/>
  <c r="AL32" i="22"/>
  <c r="AL29" i="22"/>
  <c r="AL26" i="22"/>
  <c r="AL23" i="22"/>
  <c r="AL20" i="22"/>
  <c r="AL17" i="22"/>
  <c r="AL14" i="22"/>
  <c r="AN5" i="22"/>
  <c r="AM52" i="22" l="1"/>
  <c r="AO52" i="22" s="1"/>
  <c r="AL94" i="22"/>
  <c r="AM94" i="22" s="1"/>
  <c r="AO94" i="22" s="1"/>
  <c r="AL88" i="22"/>
  <c r="AM88" i="22" s="1"/>
  <c r="AO88" i="22" s="1"/>
  <c r="AL82" i="22"/>
  <c r="AM82" i="22" s="1"/>
  <c r="AO82" i="22" s="1"/>
  <c r="AL76" i="22"/>
  <c r="AM76" i="22" s="1"/>
  <c r="AO76" i="22" s="1"/>
  <c r="AL70" i="22"/>
  <c r="AM70" i="22" s="1"/>
  <c r="AO70" i="22" s="1"/>
  <c r="AL64" i="22"/>
  <c r="AM64" i="22" s="1"/>
  <c r="AO64" i="22" s="1"/>
  <c r="AL58" i="22"/>
  <c r="AM58" i="22" s="1"/>
  <c r="AO58" i="22" s="1"/>
  <c r="AM61" i="22"/>
  <c r="AO61" i="22" s="1"/>
  <c r="AM67" i="22"/>
  <c r="AO67" i="22" s="1"/>
  <c r="AM73" i="22"/>
  <c r="AO73" i="22" s="1"/>
  <c r="AM79" i="22"/>
  <c r="AO79" i="22" s="1"/>
  <c r="AM85" i="22"/>
  <c r="AO85" i="22" s="1"/>
  <c r="AM91" i="22"/>
  <c r="AO91" i="22" s="1"/>
  <c r="AJ55" i="22"/>
  <c r="AN44" i="22"/>
  <c r="AH55" i="22"/>
  <c r="AL49" i="22"/>
  <c r="AM49" i="22" s="1"/>
  <c r="AO49" i="22" s="1"/>
  <c r="AH44" i="22"/>
  <c r="AI44" i="22"/>
  <c r="AL44" i="22"/>
  <c r="AM5" i="22"/>
  <c r="AO5" i="22" s="1"/>
  <c r="AJ44" i="22"/>
  <c r="AN46" i="22"/>
  <c r="AN55" i="22" s="1"/>
  <c r="AO44" i="22" l="1"/>
  <c r="AO106" i="22"/>
  <c r="AL46" i="22"/>
  <c r="AI55" i="22"/>
  <c r="AM44" i="22" l="1"/>
  <c r="AL55" i="22"/>
  <c r="AM46" i="22"/>
  <c r="AO46" i="22" s="1"/>
  <c r="AM55" i="22" l="1"/>
  <c r="AO55" i="22" l="1"/>
  <c r="AO71" i="9" l="1"/>
  <c r="AN68" i="9" l="1"/>
  <c r="AM68" i="9"/>
  <c r="AL68" i="9"/>
  <c r="AK68" i="9"/>
  <c r="AJ69" i="9"/>
  <c r="AR68" i="9" s="1"/>
  <c r="AH68" i="9"/>
  <c r="AI68" i="9" l="1"/>
  <c r="AP68" i="9" s="1"/>
  <c r="AQ68" i="9" s="1"/>
  <c r="AS68" i="9" s="1"/>
  <c r="AJ30" i="9" l="1"/>
  <c r="AJ33" i="9"/>
  <c r="AJ36" i="9"/>
  <c r="AK62" i="9"/>
  <c r="AL62" i="9"/>
  <c r="AM62" i="9"/>
  <c r="AN62" i="9"/>
  <c r="AK65" i="9"/>
  <c r="AL65" i="9"/>
  <c r="AM65" i="9"/>
  <c r="AN65" i="9"/>
  <c r="AJ66" i="9" l="1"/>
  <c r="AR65" i="9" s="1"/>
  <c r="AH65" i="9"/>
  <c r="AI65" i="9" s="1"/>
  <c r="AP65" i="9" s="1"/>
  <c r="AQ65" i="9" s="1"/>
  <c r="AJ63" i="9"/>
  <c r="AR62" i="9" s="1"/>
  <c r="AH62" i="9"/>
  <c r="AI62" i="9" s="1"/>
  <c r="AP62" i="9" s="1"/>
  <c r="AQ62" i="9" s="1"/>
  <c r="AJ60" i="9"/>
  <c r="AR59" i="9" s="1"/>
  <c r="AN59" i="9"/>
  <c r="AM59" i="9"/>
  <c r="AL59" i="9"/>
  <c r="AK59" i="9"/>
  <c r="AH59" i="9"/>
  <c r="AI59" i="9" s="1"/>
  <c r="AP59" i="9" s="1"/>
  <c r="AQ59" i="9" s="1"/>
  <c r="AJ57" i="9"/>
  <c r="AR56" i="9" s="1"/>
  <c r="AN56" i="9"/>
  <c r="AM56" i="9"/>
  <c r="AL56" i="9"/>
  <c r="AK56" i="9"/>
  <c r="AH56" i="9"/>
  <c r="AJ54" i="9"/>
  <c r="AR53" i="9" s="1"/>
  <c r="AN53" i="9"/>
  <c r="AM53" i="9"/>
  <c r="AL53" i="9"/>
  <c r="AK53" i="9"/>
  <c r="AH53" i="9"/>
  <c r="AJ51" i="9"/>
  <c r="AR50" i="9" s="1"/>
  <c r="AN50" i="9"/>
  <c r="AM50" i="9"/>
  <c r="AL50" i="9"/>
  <c r="AK50" i="9"/>
  <c r="AH50" i="9"/>
  <c r="AI50" i="9" s="1"/>
  <c r="AP50" i="9" s="1"/>
  <c r="AQ50" i="9" s="1"/>
  <c r="AJ48" i="9"/>
  <c r="AR47" i="9" s="1"/>
  <c r="AN47" i="9"/>
  <c r="AM47" i="9"/>
  <c r="AL47" i="9"/>
  <c r="AK47" i="9"/>
  <c r="AH47" i="9"/>
  <c r="AI47" i="9" s="1"/>
  <c r="AP47" i="9" s="1"/>
  <c r="AQ47" i="9" s="1"/>
  <c r="AJ45" i="9"/>
  <c r="AR44" i="9" s="1"/>
  <c r="AN44" i="9"/>
  <c r="AM44" i="9"/>
  <c r="AL44" i="9"/>
  <c r="AK44" i="9"/>
  <c r="AH44" i="9"/>
  <c r="AJ42" i="9"/>
  <c r="AR41" i="9" s="1"/>
  <c r="AN41" i="9"/>
  <c r="AM41" i="9"/>
  <c r="AL41" i="9"/>
  <c r="AK41" i="9"/>
  <c r="AH41" i="9"/>
  <c r="AJ39" i="9"/>
  <c r="AR38" i="9"/>
  <c r="AN38" i="9"/>
  <c r="AM38" i="9"/>
  <c r="AL38" i="9"/>
  <c r="AK38" i="9"/>
  <c r="AH38" i="9"/>
  <c r="AI38" i="9" s="1"/>
  <c r="AP38" i="9" s="1"/>
  <c r="AQ38" i="9" s="1"/>
  <c r="AR35" i="9"/>
  <c r="AN35" i="9"/>
  <c r="AM35" i="9"/>
  <c r="AL35" i="9"/>
  <c r="AK35" i="9"/>
  <c r="AH35" i="9"/>
  <c r="AR32" i="9"/>
  <c r="AN32" i="9"/>
  <c r="AM32" i="9"/>
  <c r="AL32" i="9"/>
  <c r="AK32" i="9"/>
  <c r="AH32" i="9"/>
  <c r="AI32" i="9" s="1"/>
  <c r="AP32" i="9" s="1"/>
  <c r="AQ32" i="9" s="1"/>
  <c r="AR29" i="9"/>
  <c r="AN29" i="9"/>
  <c r="AM29" i="9"/>
  <c r="AL29" i="9"/>
  <c r="AK29" i="9"/>
  <c r="AH29" i="9"/>
  <c r="AJ27" i="9"/>
  <c r="AR26" i="9" s="1"/>
  <c r="AN26" i="9"/>
  <c r="AM26" i="9"/>
  <c r="AL26" i="9"/>
  <c r="AK26" i="9"/>
  <c r="AH26" i="9"/>
  <c r="AI26" i="9" s="1"/>
  <c r="AP26" i="9" s="1"/>
  <c r="AQ26" i="9" s="1"/>
  <c r="AJ24" i="9"/>
  <c r="AR23" i="9" s="1"/>
  <c r="AN23" i="9"/>
  <c r="AM23" i="9"/>
  <c r="AL23" i="9"/>
  <c r="AK23" i="9"/>
  <c r="AH23" i="9"/>
  <c r="AJ21" i="9"/>
  <c r="AR20" i="9" s="1"/>
  <c r="AN20" i="9"/>
  <c r="AM20" i="9"/>
  <c r="AL20" i="9"/>
  <c r="AK20" i="9"/>
  <c r="AI20" i="9"/>
  <c r="AP20" i="9" s="1"/>
  <c r="AQ20" i="9" s="1"/>
  <c r="AH20" i="9"/>
  <c r="AJ18" i="9"/>
  <c r="AR17" i="9" s="1"/>
  <c r="AN17" i="9"/>
  <c r="AM17" i="9"/>
  <c r="AL17" i="9"/>
  <c r="AK17" i="9"/>
  <c r="AH17" i="9"/>
  <c r="AJ15" i="9"/>
  <c r="AR14" i="9" s="1"/>
  <c r="AN14" i="9"/>
  <c r="AM14" i="9"/>
  <c r="AL14" i="9"/>
  <c r="AK14" i="9"/>
  <c r="AH14" i="9"/>
  <c r="AI14" i="9" s="1"/>
  <c r="AP14" i="9" s="1"/>
  <c r="AQ14" i="9" s="1"/>
  <c r="AJ12" i="9"/>
  <c r="AR11" i="9" s="1"/>
  <c r="AN11" i="9"/>
  <c r="AM11" i="9"/>
  <c r="AL11" i="9"/>
  <c r="AK11" i="9"/>
  <c r="AH11" i="9"/>
  <c r="AJ9" i="9"/>
  <c r="AR8" i="9" s="1"/>
  <c r="AN8" i="9"/>
  <c r="AM8" i="9"/>
  <c r="AL8" i="9"/>
  <c r="AK8" i="9"/>
  <c r="AH8" i="9"/>
  <c r="AI8" i="9" s="1"/>
  <c r="AP8" i="9" s="1"/>
  <c r="AQ8" i="9" s="1"/>
  <c r="AN5" i="9"/>
  <c r="AM5" i="9"/>
  <c r="AL5" i="9"/>
  <c r="AK5" i="9"/>
  <c r="AJ5" i="9"/>
  <c r="AH5" i="9"/>
  <c r="AO70" i="8"/>
  <c r="AJ68" i="8"/>
  <c r="AR67" i="8"/>
  <c r="AN67" i="8"/>
  <c r="AM67" i="8"/>
  <c r="AL67" i="8"/>
  <c r="AK67" i="8"/>
  <c r="AI67" i="8"/>
  <c r="AP67" i="8" s="1"/>
  <c r="AQ67" i="8" s="1"/>
  <c r="AS67" i="8" s="1"/>
  <c r="AH67" i="8"/>
  <c r="AJ65" i="8"/>
  <c r="AR64" i="8" s="1"/>
  <c r="AN64" i="8"/>
  <c r="AM64" i="8"/>
  <c r="AL64" i="8"/>
  <c r="AK64" i="8"/>
  <c r="AH64" i="8"/>
  <c r="AJ62" i="8"/>
  <c r="AR61" i="8"/>
  <c r="AN61" i="8"/>
  <c r="AM61" i="8"/>
  <c r="AL61" i="8"/>
  <c r="AK61" i="8"/>
  <c r="AI61" i="8"/>
  <c r="AP61" i="8" s="1"/>
  <c r="AQ61" i="8" s="1"/>
  <c r="AS61" i="8" s="1"/>
  <c r="AH61" i="8"/>
  <c r="AH60" i="8"/>
  <c r="AH59" i="8"/>
  <c r="AH58" i="8"/>
  <c r="AH57" i="8"/>
  <c r="AH56" i="8"/>
  <c r="AJ54" i="8"/>
  <c r="AR53" i="8"/>
  <c r="AQ53" i="8"/>
  <c r="AS53" i="8" s="1"/>
  <c r="AN53" i="8"/>
  <c r="AM53" i="8"/>
  <c r="AL53" i="8"/>
  <c r="AK53" i="8"/>
  <c r="AI53" i="8"/>
  <c r="AP53" i="8" s="1"/>
  <c r="AH53" i="8"/>
  <c r="AJ51" i="8"/>
  <c r="AR50" i="8"/>
  <c r="AN50" i="8"/>
  <c r="AM50" i="8"/>
  <c r="AL50" i="8"/>
  <c r="AK50" i="8"/>
  <c r="AH50" i="8"/>
  <c r="AJ48" i="8"/>
  <c r="AR47" i="8"/>
  <c r="AN47" i="8"/>
  <c r="AM47" i="8"/>
  <c r="AL47" i="8"/>
  <c r="AK47" i="8"/>
  <c r="AI47" i="8"/>
  <c r="AP47" i="8" s="1"/>
  <c r="AQ47" i="8" s="1"/>
  <c r="AS47" i="8" s="1"/>
  <c r="AH47" i="8"/>
  <c r="AJ45" i="8"/>
  <c r="AR44" i="8" s="1"/>
  <c r="AN44" i="8"/>
  <c r="AM44" i="8"/>
  <c r="AL44" i="8"/>
  <c r="AK44" i="8"/>
  <c r="AH44" i="8"/>
  <c r="AJ42" i="8"/>
  <c r="AR41" i="8"/>
  <c r="AN41" i="8"/>
  <c r="AM41" i="8"/>
  <c r="AL41" i="8"/>
  <c r="AK41" i="8"/>
  <c r="AI41" i="8"/>
  <c r="AP41" i="8" s="1"/>
  <c r="AQ41" i="8" s="1"/>
  <c r="AS41" i="8" s="1"/>
  <c r="AH41" i="8"/>
  <c r="AJ39" i="8"/>
  <c r="AR38" i="8" s="1"/>
  <c r="AN38" i="8"/>
  <c r="AM38" i="8"/>
  <c r="AL38" i="8"/>
  <c r="AK38" i="8"/>
  <c r="AH38" i="8"/>
  <c r="AJ36" i="8"/>
  <c r="AR35" i="8"/>
  <c r="AN35" i="8"/>
  <c r="AM35" i="8"/>
  <c r="AL35" i="8"/>
  <c r="AK35" i="8"/>
  <c r="AI35" i="8"/>
  <c r="AP35" i="8" s="1"/>
  <c r="AH35" i="8"/>
  <c r="AJ33" i="8"/>
  <c r="AR32" i="8" s="1"/>
  <c r="AN32" i="8"/>
  <c r="AM32" i="8"/>
  <c r="AL32" i="8"/>
  <c r="AK32" i="8"/>
  <c r="AH32" i="8"/>
  <c r="AJ30" i="8"/>
  <c r="AR29" i="8"/>
  <c r="AN29" i="8"/>
  <c r="AM29" i="8"/>
  <c r="AL29" i="8"/>
  <c r="AK29" i="8"/>
  <c r="AI29" i="8"/>
  <c r="AP29" i="8" s="1"/>
  <c r="AQ29" i="8" s="1"/>
  <c r="AS29" i="8" s="1"/>
  <c r="AH29" i="8"/>
  <c r="AJ27" i="8"/>
  <c r="AR26" i="8" s="1"/>
  <c r="AN26" i="8"/>
  <c r="AM26" i="8"/>
  <c r="AL26" i="8"/>
  <c r="AK26" i="8"/>
  <c r="AH26" i="8"/>
  <c r="AJ24" i="8"/>
  <c r="AR23" i="8"/>
  <c r="AN23" i="8"/>
  <c r="AM23" i="8"/>
  <c r="AL23" i="8"/>
  <c r="AK23" i="8"/>
  <c r="AI23" i="8"/>
  <c r="AP23" i="8" s="1"/>
  <c r="AQ23" i="8" s="1"/>
  <c r="AS23" i="8" s="1"/>
  <c r="AH23" i="8"/>
  <c r="AJ21" i="8"/>
  <c r="AR20" i="8" s="1"/>
  <c r="AN20" i="8"/>
  <c r="AM20" i="8"/>
  <c r="AL20" i="8"/>
  <c r="AK20" i="8"/>
  <c r="AH20" i="8"/>
  <c r="AJ18" i="8"/>
  <c r="AR17" i="8"/>
  <c r="AN17" i="8"/>
  <c r="AM17" i="8"/>
  <c r="AL17" i="8"/>
  <c r="AK17" i="8"/>
  <c r="AI17" i="8"/>
  <c r="AP17" i="8" s="1"/>
  <c r="AQ17" i="8" s="1"/>
  <c r="AS17" i="8" s="1"/>
  <c r="AH17" i="8"/>
  <c r="AJ15" i="8"/>
  <c r="AR14" i="8" s="1"/>
  <c r="AN14" i="8"/>
  <c r="AM14" i="8"/>
  <c r="AL14" i="8"/>
  <c r="AK14" i="8"/>
  <c r="AH14" i="8"/>
  <c r="AJ12" i="8"/>
  <c r="AR11" i="8"/>
  <c r="AN11" i="8"/>
  <c r="AN70" i="8" s="1"/>
  <c r="AM11" i="8"/>
  <c r="AL11" i="8"/>
  <c r="AL70" i="8" s="1"/>
  <c r="AK11" i="8"/>
  <c r="AI11" i="8"/>
  <c r="AP11" i="8" s="1"/>
  <c r="AQ11" i="8" s="1"/>
  <c r="AS11" i="8" s="1"/>
  <c r="AH11" i="8"/>
  <c r="AJ9" i="8"/>
  <c r="AJ70" i="8" s="1"/>
  <c r="AN8" i="8"/>
  <c r="AM8" i="8"/>
  <c r="AL8" i="8"/>
  <c r="AK8" i="8"/>
  <c r="AH8" i="8"/>
  <c r="AH70" i="8" s="1"/>
  <c r="AR5" i="8"/>
  <c r="AN5" i="8"/>
  <c r="AM5" i="8"/>
  <c r="AL5" i="8"/>
  <c r="AK5" i="8"/>
  <c r="AJ5" i="8"/>
  <c r="AI5" i="8"/>
  <c r="AH5" i="8"/>
  <c r="C98" i="7"/>
  <c r="C97" i="7"/>
  <c r="AV94" i="7"/>
  <c r="AO94" i="7"/>
  <c r="AJ92" i="7"/>
  <c r="AR91" i="7"/>
  <c r="AN91" i="7"/>
  <c r="AM91" i="7"/>
  <c r="AL91" i="7"/>
  <c r="AK91" i="7"/>
  <c r="AI91" i="7"/>
  <c r="AP91" i="7" s="1"/>
  <c r="AQ91" i="7" s="1"/>
  <c r="AS91" i="7" s="1"/>
  <c r="AH91" i="7"/>
  <c r="AJ89" i="7"/>
  <c r="AR88" i="7"/>
  <c r="AQ88" i="7"/>
  <c r="AS88" i="7" s="1"/>
  <c r="AU89" i="7" s="1"/>
  <c r="AN88" i="7"/>
  <c r="AM88" i="7"/>
  <c r="AL88" i="7"/>
  <c r="AK88" i="7"/>
  <c r="AI88" i="7"/>
  <c r="AP88" i="7" s="1"/>
  <c r="AH88" i="7"/>
  <c r="AJ86" i="7"/>
  <c r="AR85" i="7"/>
  <c r="AN85" i="7"/>
  <c r="AM85" i="7"/>
  <c r="AL85" i="7"/>
  <c r="AK85" i="7"/>
  <c r="AI85" i="7"/>
  <c r="AP85" i="7" s="1"/>
  <c r="AQ85" i="7" s="1"/>
  <c r="AS85" i="7" s="1"/>
  <c r="AU86" i="7" s="1"/>
  <c r="AH85" i="7"/>
  <c r="AH84" i="7"/>
  <c r="AH83" i="7"/>
  <c r="AH82" i="7"/>
  <c r="AH81" i="7"/>
  <c r="AH80" i="7"/>
  <c r="AJ78" i="7"/>
  <c r="AR77" i="7"/>
  <c r="AQ77" i="7"/>
  <c r="AS77" i="7" s="1"/>
  <c r="AN77" i="7"/>
  <c r="AM77" i="7"/>
  <c r="AL77" i="7"/>
  <c r="AK77" i="7"/>
  <c r="AI77" i="7"/>
  <c r="AP77" i="7" s="1"/>
  <c r="AH77" i="7"/>
  <c r="AJ75" i="7"/>
  <c r="AR74" i="7"/>
  <c r="AN74" i="7"/>
  <c r="AM74" i="7"/>
  <c r="AL74" i="7"/>
  <c r="AK74" i="7"/>
  <c r="AH74" i="7"/>
  <c r="AJ72" i="7"/>
  <c r="AR71" i="7"/>
  <c r="AQ71" i="7"/>
  <c r="AS71" i="7" s="1"/>
  <c r="AN71" i="7"/>
  <c r="AM71" i="7"/>
  <c r="AL71" i="7"/>
  <c r="AK71" i="7"/>
  <c r="AI71" i="7"/>
  <c r="AP71" i="7" s="1"/>
  <c r="AH71" i="7"/>
  <c r="AJ69" i="7"/>
  <c r="AR68" i="7"/>
  <c r="AN68" i="7"/>
  <c r="AM68" i="7"/>
  <c r="AL68" i="7"/>
  <c r="AK68" i="7"/>
  <c r="AH68" i="7"/>
  <c r="AJ66" i="7"/>
  <c r="AR65" i="7"/>
  <c r="AQ65" i="7"/>
  <c r="AS65" i="7" s="1"/>
  <c r="AN65" i="7"/>
  <c r="AM65" i="7"/>
  <c r="AL65" i="7"/>
  <c r="AK65" i="7"/>
  <c r="AI65" i="7"/>
  <c r="AP65" i="7" s="1"/>
  <c r="AH65" i="7"/>
  <c r="AJ63" i="7"/>
  <c r="AR62" i="7"/>
  <c r="AN62" i="7"/>
  <c r="AM62" i="7"/>
  <c r="AL62" i="7"/>
  <c r="AK62" i="7"/>
  <c r="AH62" i="7"/>
  <c r="AJ60" i="7"/>
  <c r="AR59" i="7"/>
  <c r="AQ59" i="7"/>
  <c r="AS59" i="7" s="1"/>
  <c r="AN59" i="7"/>
  <c r="AM59" i="7"/>
  <c r="AL59" i="7"/>
  <c r="AK59" i="7"/>
  <c r="AI59" i="7"/>
  <c r="AP59" i="7" s="1"/>
  <c r="AH59" i="7"/>
  <c r="AJ57" i="7"/>
  <c r="AR56" i="7"/>
  <c r="AN56" i="7"/>
  <c r="AM56" i="7"/>
  <c r="AL56" i="7"/>
  <c r="AK56" i="7"/>
  <c r="AH56" i="7"/>
  <c r="AJ54" i="7"/>
  <c r="AR53" i="7"/>
  <c r="AQ53" i="7"/>
  <c r="AS53" i="7" s="1"/>
  <c r="AN53" i="7"/>
  <c r="AM53" i="7"/>
  <c r="AL53" i="7"/>
  <c r="AK53" i="7"/>
  <c r="AI53" i="7"/>
  <c r="AP53" i="7" s="1"/>
  <c r="AH53" i="7"/>
  <c r="AJ51" i="7"/>
  <c r="AR50" i="7"/>
  <c r="AN50" i="7"/>
  <c r="AM50" i="7"/>
  <c r="AL50" i="7"/>
  <c r="AK50" i="7"/>
  <c r="AH50" i="7"/>
  <c r="AJ48" i="7"/>
  <c r="AR47" i="7"/>
  <c r="AQ47" i="7"/>
  <c r="AS47" i="7" s="1"/>
  <c r="AN47" i="7"/>
  <c r="AM47" i="7"/>
  <c r="AL47" i="7"/>
  <c r="AK47" i="7"/>
  <c r="AI47" i="7"/>
  <c r="AP47" i="7" s="1"/>
  <c r="AH47" i="7"/>
  <c r="AJ45" i="7"/>
  <c r="AR44" i="7"/>
  <c r="AN44" i="7"/>
  <c r="AM44" i="7"/>
  <c r="AL44" i="7"/>
  <c r="AK44" i="7"/>
  <c r="AH44" i="7"/>
  <c r="AJ42" i="7"/>
  <c r="AR41" i="7"/>
  <c r="AN41" i="7"/>
  <c r="AM41" i="7"/>
  <c r="AL41" i="7"/>
  <c r="AK41" i="7"/>
  <c r="AI41" i="7"/>
  <c r="AP41" i="7" s="1"/>
  <c r="AQ41" i="7" s="1"/>
  <c r="AS41" i="7" s="1"/>
  <c r="AH41" i="7"/>
  <c r="AJ39" i="7"/>
  <c r="AR38" i="7" s="1"/>
  <c r="AN38" i="7"/>
  <c r="AM38" i="7"/>
  <c r="AL38" i="7"/>
  <c r="AK38" i="7"/>
  <c r="AH38" i="7"/>
  <c r="AJ36" i="7"/>
  <c r="AR35" i="7"/>
  <c r="AN35" i="7"/>
  <c r="AM35" i="7"/>
  <c r="AL35" i="7"/>
  <c r="AK35" i="7"/>
  <c r="AH35" i="7"/>
  <c r="AJ33" i="7"/>
  <c r="AR32" i="7"/>
  <c r="AN32" i="7"/>
  <c r="AM32" i="7"/>
  <c r="AL32" i="7"/>
  <c r="AK32" i="7"/>
  <c r="AI32" i="7"/>
  <c r="AP32" i="7" s="1"/>
  <c r="AH32" i="7"/>
  <c r="AJ30" i="7"/>
  <c r="AR29" i="7"/>
  <c r="AN29" i="7"/>
  <c r="AM29" i="7"/>
  <c r="AL29" i="7"/>
  <c r="AK29" i="7"/>
  <c r="AH29" i="7"/>
  <c r="AJ27" i="7"/>
  <c r="AR26" i="7"/>
  <c r="AN26" i="7"/>
  <c r="AM26" i="7"/>
  <c r="AL26" i="7"/>
  <c r="AK26" i="7"/>
  <c r="AH26" i="7"/>
  <c r="AJ24" i="7"/>
  <c r="AR23" i="7"/>
  <c r="AN23" i="7"/>
  <c r="AM23" i="7"/>
  <c r="AL23" i="7"/>
  <c r="AK23" i="7"/>
  <c r="AH23" i="7"/>
  <c r="AJ21" i="7"/>
  <c r="AR20" i="7"/>
  <c r="AN20" i="7"/>
  <c r="AM20" i="7"/>
  <c r="AL20" i="7"/>
  <c r="AK20" i="7"/>
  <c r="AI20" i="7"/>
  <c r="AP20" i="7" s="1"/>
  <c r="AH20" i="7"/>
  <c r="AQ20" i="7" s="1"/>
  <c r="AS20" i="7" s="1"/>
  <c r="AJ18" i="7"/>
  <c r="AR17" i="7"/>
  <c r="AN17" i="7"/>
  <c r="AM17" i="7"/>
  <c r="AL17" i="7"/>
  <c r="AK17" i="7"/>
  <c r="AI17" i="7"/>
  <c r="AP17" i="7" s="1"/>
  <c r="AH17" i="7"/>
  <c r="AQ17" i="7" s="1"/>
  <c r="AS17" i="7" s="1"/>
  <c r="AU18" i="7" s="1"/>
  <c r="AJ15" i="7"/>
  <c r="AR14" i="7"/>
  <c r="AN14" i="7"/>
  <c r="AM14" i="7"/>
  <c r="AL14" i="7"/>
  <c r="AK14" i="7"/>
  <c r="AH14" i="7"/>
  <c r="AJ12" i="7"/>
  <c r="AR11" i="7"/>
  <c r="AN11" i="7"/>
  <c r="AM11" i="7"/>
  <c r="AL11" i="7"/>
  <c r="AK11" i="7"/>
  <c r="AI11" i="7"/>
  <c r="AP11" i="7" s="1"/>
  <c r="AH11" i="7"/>
  <c r="AN8" i="7"/>
  <c r="AM8" i="7"/>
  <c r="AL8" i="7"/>
  <c r="AK8" i="7"/>
  <c r="AJ8" i="7"/>
  <c r="AR8" i="7" s="1"/>
  <c r="AH8" i="7"/>
  <c r="AN5" i="7"/>
  <c r="AN94" i="7" s="1"/>
  <c r="AM5" i="7"/>
  <c r="AM94" i="7" s="1"/>
  <c r="AL5" i="7"/>
  <c r="AL94" i="7" s="1"/>
  <c r="AK5" i="7"/>
  <c r="AK94" i="7" s="1"/>
  <c r="AJ5" i="7"/>
  <c r="AJ94" i="7" s="1"/>
  <c r="AH5" i="7"/>
  <c r="AI5" i="7" s="1"/>
  <c r="C96" i="6"/>
  <c r="C98" i="6" s="1"/>
  <c r="AO91" i="6"/>
  <c r="AJ89" i="6"/>
  <c r="AR88" i="6"/>
  <c r="AN88" i="6"/>
  <c r="AM88" i="6"/>
  <c r="AL88" i="6"/>
  <c r="AK88" i="6"/>
  <c r="AI88" i="6"/>
  <c r="AP88" i="6" s="1"/>
  <c r="AH88" i="6"/>
  <c r="AJ86" i="6"/>
  <c r="AR85" i="6"/>
  <c r="AN85" i="6"/>
  <c r="AM85" i="6"/>
  <c r="AL85" i="6"/>
  <c r="AK85" i="6"/>
  <c r="AH85" i="6"/>
  <c r="AG84" i="6"/>
  <c r="AF84" i="6"/>
  <c r="AE84" i="6"/>
  <c r="AD84" i="6"/>
  <c r="AC84" i="6"/>
  <c r="AB84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C84" i="6"/>
  <c r="AH84" i="6" s="1"/>
  <c r="AG83" i="6"/>
  <c r="AF83" i="6"/>
  <c r="AE83" i="6"/>
  <c r="AD83" i="6"/>
  <c r="AC83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AH83" i="6" s="1"/>
  <c r="AG82" i="6"/>
  <c r="AF82" i="6"/>
  <c r="AE82" i="6"/>
  <c r="AD82" i="6"/>
  <c r="AC82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C82" i="6"/>
  <c r="AH82" i="6" s="1"/>
  <c r="AG81" i="6"/>
  <c r="AF81" i="6"/>
  <c r="AE81" i="6"/>
  <c r="AD81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AH81" i="6" s="1"/>
  <c r="C81" i="6"/>
  <c r="AG80" i="6"/>
  <c r="AF80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C80" i="6"/>
  <c r="AH80" i="6" s="1"/>
  <c r="AJ78" i="6"/>
  <c r="AR77" i="6"/>
  <c r="AQ77" i="6"/>
  <c r="AS77" i="6" s="1"/>
  <c r="AN77" i="6"/>
  <c r="AM77" i="6"/>
  <c r="AL77" i="6"/>
  <c r="AK77" i="6"/>
  <c r="AI77" i="6"/>
  <c r="AP77" i="6" s="1"/>
  <c r="AH77" i="6"/>
  <c r="AJ75" i="6"/>
  <c r="AR74" i="6"/>
  <c r="AN74" i="6"/>
  <c r="AM74" i="6"/>
  <c r="AL74" i="6"/>
  <c r="AK74" i="6"/>
  <c r="AH74" i="6"/>
  <c r="AJ72" i="6"/>
  <c r="AR71" i="6"/>
  <c r="AQ71" i="6"/>
  <c r="AS71" i="6" s="1"/>
  <c r="AN71" i="6"/>
  <c r="AM71" i="6"/>
  <c r="AL71" i="6"/>
  <c r="AK71" i="6"/>
  <c r="AI71" i="6"/>
  <c r="AP71" i="6" s="1"/>
  <c r="AH71" i="6"/>
  <c r="AJ69" i="6"/>
  <c r="AR68" i="6"/>
  <c r="AN68" i="6"/>
  <c r="AM68" i="6"/>
  <c r="AL68" i="6"/>
  <c r="AK68" i="6"/>
  <c r="AH68" i="6"/>
  <c r="AJ66" i="6"/>
  <c r="AR65" i="6"/>
  <c r="AQ65" i="6"/>
  <c r="AS65" i="6" s="1"/>
  <c r="AN65" i="6"/>
  <c r="AM65" i="6"/>
  <c r="AL65" i="6"/>
  <c r="AK65" i="6"/>
  <c r="AI65" i="6"/>
  <c r="AP65" i="6" s="1"/>
  <c r="AH65" i="6"/>
  <c r="AJ63" i="6"/>
  <c r="AR62" i="6"/>
  <c r="AN62" i="6"/>
  <c r="AM62" i="6"/>
  <c r="AL62" i="6"/>
  <c r="AK62" i="6"/>
  <c r="AH62" i="6"/>
  <c r="AJ60" i="6"/>
  <c r="AR59" i="6"/>
  <c r="AN59" i="6"/>
  <c r="AM59" i="6"/>
  <c r="AL59" i="6"/>
  <c r="AK59" i="6"/>
  <c r="AI59" i="6"/>
  <c r="AP59" i="6" s="1"/>
  <c r="AQ59" i="6" s="1"/>
  <c r="AS59" i="6" s="1"/>
  <c r="AH59" i="6"/>
  <c r="AJ57" i="6"/>
  <c r="AR56" i="6"/>
  <c r="AN56" i="6"/>
  <c r="AM56" i="6"/>
  <c r="AL56" i="6"/>
  <c r="AK56" i="6"/>
  <c r="AH56" i="6"/>
  <c r="AJ54" i="6"/>
  <c r="AR53" i="6"/>
  <c r="AN53" i="6"/>
  <c r="AM53" i="6"/>
  <c r="AL53" i="6"/>
  <c r="AK53" i="6"/>
  <c r="AI53" i="6"/>
  <c r="AP53" i="6" s="1"/>
  <c r="AQ53" i="6" s="1"/>
  <c r="AS53" i="6" s="1"/>
  <c r="AH53" i="6"/>
  <c r="AJ51" i="6"/>
  <c r="AR50" i="6"/>
  <c r="AN50" i="6"/>
  <c r="AM50" i="6"/>
  <c r="AL50" i="6"/>
  <c r="AK50" i="6"/>
  <c r="AH50" i="6"/>
  <c r="AJ48" i="6"/>
  <c r="AR47" i="6"/>
  <c r="AN47" i="6"/>
  <c r="AM47" i="6"/>
  <c r="AL47" i="6"/>
  <c r="AK47" i="6"/>
  <c r="AI47" i="6"/>
  <c r="AP47" i="6" s="1"/>
  <c r="AQ47" i="6" s="1"/>
  <c r="AS47" i="6" s="1"/>
  <c r="AH47" i="6"/>
  <c r="AJ45" i="6"/>
  <c r="AR44" i="6"/>
  <c r="AN44" i="6"/>
  <c r="AM44" i="6"/>
  <c r="AL44" i="6"/>
  <c r="AK44" i="6"/>
  <c r="AH44" i="6"/>
  <c r="AJ42" i="6"/>
  <c r="AR41" i="6"/>
  <c r="AN41" i="6"/>
  <c r="AM41" i="6"/>
  <c r="AL41" i="6"/>
  <c r="AK41" i="6"/>
  <c r="AI41" i="6"/>
  <c r="AP41" i="6" s="1"/>
  <c r="AQ41" i="6" s="1"/>
  <c r="AS41" i="6" s="1"/>
  <c r="AH41" i="6"/>
  <c r="AJ39" i="6"/>
  <c r="AR38" i="6"/>
  <c r="AN38" i="6"/>
  <c r="AM38" i="6"/>
  <c r="AL38" i="6"/>
  <c r="AK38" i="6"/>
  <c r="AH38" i="6"/>
  <c r="AJ36" i="6"/>
  <c r="AR35" i="6"/>
  <c r="AN35" i="6"/>
  <c r="AM35" i="6"/>
  <c r="AL35" i="6"/>
  <c r="AK35" i="6"/>
  <c r="AI35" i="6"/>
  <c r="AP35" i="6" s="1"/>
  <c r="AQ35" i="6" s="1"/>
  <c r="AS35" i="6" s="1"/>
  <c r="AH35" i="6"/>
  <c r="AJ33" i="6"/>
  <c r="AR32" i="6"/>
  <c r="AN32" i="6"/>
  <c r="AM32" i="6"/>
  <c r="AL32" i="6"/>
  <c r="AK32" i="6"/>
  <c r="AH32" i="6"/>
  <c r="AJ30" i="6"/>
  <c r="AR29" i="6"/>
  <c r="AN29" i="6"/>
  <c r="AM29" i="6"/>
  <c r="AL29" i="6"/>
  <c r="AK29" i="6"/>
  <c r="AI29" i="6"/>
  <c r="AP29" i="6" s="1"/>
  <c r="AQ29" i="6" s="1"/>
  <c r="AS29" i="6" s="1"/>
  <c r="AH29" i="6"/>
  <c r="AJ27" i="6"/>
  <c r="AR26" i="6"/>
  <c r="AN26" i="6"/>
  <c r="AM26" i="6"/>
  <c r="AL26" i="6"/>
  <c r="AK26" i="6"/>
  <c r="AH26" i="6"/>
  <c r="AJ24" i="6"/>
  <c r="AR23" i="6"/>
  <c r="AN23" i="6"/>
  <c r="AM23" i="6"/>
  <c r="AL23" i="6"/>
  <c r="AK23" i="6"/>
  <c r="AI23" i="6"/>
  <c r="AP23" i="6" s="1"/>
  <c r="AQ23" i="6" s="1"/>
  <c r="AS23" i="6" s="1"/>
  <c r="AH23" i="6"/>
  <c r="AJ21" i="6"/>
  <c r="AR20" i="6"/>
  <c r="AN20" i="6"/>
  <c r="AM20" i="6"/>
  <c r="AL20" i="6"/>
  <c r="AK20" i="6"/>
  <c r="AH20" i="6"/>
  <c r="AJ18" i="6"/>
  <c r="AR17" i="6"/>
  <c r="AN17" i="6"/>
  <c r="AM17" i="6"/>
  <c r="AL17" i="6"/>
  <c r="AK17" i="6"/>
  <c r="AI17" i="6"/>
  <c r="AP17" i="6" s="1"/>
  <c r="AQ17" i="6" s="1"/>
  <c r="AS17" i="6" s="1"/>
  <c r="AH17" i="6"/>
  <c r="AJ15" i="6"/>
  <c r="AR14" i="6"/>
  <c r="AN14" i="6"/>
  <c r="AM14" i="6"/>
  <c r="AL14" i="6"/>
  <c r="AK14" i="6"/>
  <c r="AH14" i="6"/>
  <c r="AJ12" i="6"/>
  <c r="AR11" i="6"/>
  <c r="AN11" i="6"/>
  <c r="AM11" i="6"/>
  <c r="AL11" i="6"/>
  <c r="AK11" i="6"/>
  <c r="AI11" i="6"/>
  <c r="AP11" i="6" s="1"/>
  <c r="AQ11" i="6" s="1"/>
  <c r="AS11" i="6" s="1"/>
  <c r="AH11" i="6"/>
  <c r="AJ9" i="6"/>
  <c r="AR8" i="6"/>
  <c r="AN8" i="6"/>
  <c r="AM8" i="6"/>
  <c r="AL8" i="6"/>
  <c r="AK8" i="6"/>
  <c r="AH8" i="6"/>
  <c r="AJ6" i="6"/>
  <c r="AR5" i="6"/>
  <c r="AN5" i="6"/>
  <c r="AN91" i="6" s="1"/>
  <c r="AM5" i="6"/>
  <c r="AL5" i="6"/>
  <c r="AL91" i="6" s="1"/>
  <c r="AK5" i="6"/>
  <c r="AI5" i="6"/>
  <c r="AH5" i="6"/>
  <c r="C84" i="4"/>
  <c r="C82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AH73" i="4" s="1"/>
  <c r="C73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AH72" i="4" s="1"/>
  <c r="C72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AH70" i="4" s="1"/>
  <c r="C70" i="4"/>
  <c r="AG69" i="4"/>
  <c r="AG74" i="4" s="1"/>
  <c r="AF69" i="4"/>
  <c r="AF74" i="4" s="1"/>
  <c r="AE69" i="4"/>
  <c r="AE74" i="4" s="1"/>
  <c r="AD69" i="4"/>
  <c r="AD74" i="4" s="1"/>
  <c r="AC69" i="4"/>
  <c r="AC74" i="4" s="1"/>
  <c r="AB69" i="4"/>
  <c r="AB74" i="4" s="1"/>
  <c r="AA69" i="4"/>
  <c r="AA74" i="4" s="1"/>
  <c r="Z69" i="4"/>
  <c r="Z74" i="4" s="1"/>
  <c r="Y69" i="4"/>
  <c r="Y74" i="4" s="1"/>
  <c r="X69" i="4"/>
  <c r="X74" i="4" s="1"/>
  <c r="W69" i="4"/>
  <c r="W74" i="4" s="1"/>
  <c r="V69" i="4"/>
  <c r="V74" i="4" s="1"/>
  <c r="U69" i="4"/>
  <c r="U74" i="4" s="1"/>
  <c r="T69" i="4"/>
  <c r="T74" i="4" s="1"/>
  <c r="S69" i="4"/>
  <c r="S74" i="4" s="1"/>
  <c r="R69" i="4"/>
  <c r="R74" i="4" s="1"/>
  <c r="Q69" i="4"/>
  <c r="Q74" i="4" s="1"/>
  <c r="P69" i="4"/>
  <c r="P74" i="4" s="1"/>
  <c r="O69" i="4"/>
  <c r="O74" i="4" s="1"/>
  <c r="N69" i="4"/>
  <c r="N74" i="4" s="1"/>
  <c r="M69" i="4"/>
  <c r="M74" i="4" s="1"/>
  <c r="L69" i="4"/>
  <c r="L74" i="4" s="1"/>
  <c r="K69" i="4"/>
  <c r="K74" i="4" s="1"/>
  <c r="J69" i="4"/>
  <c r="J74" i="4" s="1"/>
  <c r="I69" i="4"/>
  <c r="I74" i="4" s="1"/>
  <c r="H69" i="4"/>
  <c r="H74" i="4" s="1"/>
  <c r="G69" i="4"/>
  <c r="G74" i="4" s="1"/>
  <c r="F69" i="4"/>
  <c r="F74" i="4" s="1"/>
  <c r="E69" i="4"/>
  <c r="E74" i="4" s="1"/>
  <c r="D69" i="4"/>
  <c r="D74" i="4" s="1"/>
  <c r="C69" i="4"/>
  <c r="C74" i="4" s="1"/>
  <c r="AH74" i="4" s="1"/>
  <c r="AJ66" i="4"/>
  <c r="AR65" i="4"/>
  <c r="AN65" i="4"/>
  <c r="AM65" i="4"/>
  <c r="AL65" i="4"/>
  <c r="AK65" i="4"/>
  <c r="AH65" i="4"/>
  <c r="AJ63" i="4"/>
  <c r="AR62" i="4"/>
  <c r="AN62" i="4"/>
  <c r="AM62" i="4"/>
  <c r="AL62" i="4"/>
  <c r="AK62" i="4"/>
  <c r="AI62" i="4"/>
  <c r="AP62" i="4" s="1"/>
  <c r="AQ62" i="4" s="1"/>
  <c r="AS62" i="4" s="1"/>
  <c r="AH62" i="4"/>
  <c r="AJ60" i="4"/>
  <c r="AR59" i="4"/>
  <c r="AN59" i="4"/>
  <c r="AM59" i="4"/>
  <c r="AL59" i="4"/>
  <c r="AK59" i="4"/>
  <c r="AH59" i="4"/>
  <c r="AJ57" i="4"/>
  <c r="AR56" i="4"/>
  <c r="AN56" i="4"/>
  <c r="AM56" i="4"/>
  <c r="AL56" i="4"/>
  <c r="AK56" i="4"/>
  <c r="AI56" i="4"/>
  <c r="AP56" i="4" s="1"/>
  <c r="AQ56" i="4" s="1"/>
  <c r="AS56" i="4" s="1"/>
  <c r="AH56" i="4"/>
  <c r="AJ54" i="4"/>
  <c r="AR53" i="4"/>
  <c r="AN53" i="4"/>
  <c r="AM53" i="4"/>
  <c r="AL53" i="4"/>
  <c r="AK53" i="4"/>
  <c r="AH53" i="4"/>
  <c r="AJ51" i="4"/>
  <c r="AR50" i="4"/>
  <c r="AN50" i="4"/>
  <c r="AM50" i="4"/>
  <c r="AL50" i="4"/>
  <c r="AK50" i="4"/>
  <c r="AI50" i="4"/>
  <c r="AP50" i="4" s="1"/>
  <c r="AQ50" i="4" s="1"/>
  <c r="AS50" i="4" s="1"/>
  <c r="AH50" i="4"/>
  <c r="AJ48" i="4"/>
  <c r="AR47" i="4"/>
  <c r="AN47" i="4"/>
  <c r="AM47" i="4"/>
  <c r="AL47" i="4"/>
  <c r="AK47" i="4"/>
  <c r="AH47" i="4"/>
  <c r="AJ45" i="4"/>
  <c r="AR44" i="4"/>
  <c r="AN44" i="4"/>
  <c r="AM44" i="4"/>
  <c r="AL44" i="4"/>
  <c r="AK44" i="4"/>
  <c r="AI44" i="4"/>
  <c r="AP44" i="4" s="1"/>
  <c r="AQ44" i="4" s="1"/>
  <c r="AS44" i="4" s="1"/>
  <c r="AH44" i="4"/>
  <c r="AJ42" i="4"/>
  <c r="AR41" i="4"/>
  <c r="AN41" i="4"/>
  <c r="AM41" i="4"/>
  <c r="AL41" i="4"/>
  <c r="AK41" i="4"/>
  <c r="AH41" i="4"/>
  <c r="AJ39" i="4"/>
  <c r="AR38" i="4"/>
  <c r="AN38" i="4"/>
  <c r="AM38" i="4"/>
  <c r="AL38" i="4"/>
  <c r="AK38" i="4"/>
  <c r="AI38" i="4"/>
  <c r="AP38" i="4" s="1"/>
  <c r="AQ38" i="4" s="1"/>
  <c r="AS38" i="4" s="1"/>
  <c r="AH38" i="4"/>
  <c r="AJ36" i="4"/>
  <c r="AR35" i="4"/>
  <c r="AN35" i="4"/>
  <c r="AM35" i="4"/>
  <c r="AL35" i="4"/>
  <c r="AK35" i="4"/>
  <c r="AH35" i="4"/>
  <c r="AJ33" i="4"/>
  <c r="AR32" i="4"/>
  <c r="AN32" i="4"/>
  <c r="AM32" i="4"/>
  <c r="AL32" i="4"/>
  <c r="AK32" i="4"/>
  <c r="AI32" i="4"/>
  <c r="AP32" i="4" s="1"/>
  <c r="AQ32" i="4" s="1"/>
  <c r="AS32" i="4" s="1"/>
  <c r="AH32" i="4"/>
  <c r="AJ30" i="4"/>
  <c r="AR29" i="4"/>
  <c r="AN29" i="4"/>
  <c r="AM29" i="4"/>
  <c r="AL29" i="4"/>
  <c r="AK29" i="4"/>
  <c r="AH29" i="4"/>
  <c r="AJ27" i="4"/>
  <c r="AR26" i="4"/>
  <c r="AN26" i="4"/>
  <c r="AM26" i="4"/>
  <c r="AL26" i="4"/>
  <c r="AK26" i="4"/>
  <c r="AI26" i="4"/>
  <c r="AP26" i="4" s="1"/>
  <c r="AQ26" i="4" s="1"/>
  <c r="AS26" i="4" s="1"/>
  <c r="AH26" i="4"/>
  <c r="AJ24" i="4"/>
  <c r="AR23" i="4"/>
  <c r="AN23" i="4"/>
  <c r="AM23" i="4"/>
  <c r="AL23" i="4"/>
  <c r="AK23" i="4"/>
  <c r="AH23" i="4"/>
  <c r="AJ21" i="4"/>
  <c r="AR20" i="4"/>
  <c r="AN20" i="4"/>
  <c r="AM20" i="4"/>
  <c r="AL20" i="4"/>
  <c r="AK20" i="4"/>
  <c r="AI20" i="4"/>
  <c r="AP20" i="4" s="1"/>
  <c r="AQ20" i="4" s="1"/>
  <c r="AS20" i="4" s="1"/>
  <c r="AH20" i="4"/>
  <c r="AJ18" i="4"/>
  <c r="AR17" i="4"/>
  <c r="AN17" i="4"/>
  <c r="AM17" i="4"/>
  <c r="AL17" i="4"/>
  <c r="AK17" i="4"/>
  <c r="AH17" i="4"/>
  <c r="AJ15" i="4"/>
  <c r="AR14" i="4"/>
  <c r="AN14" i="4"/>
  <c r="AM14" i="4"/>
  <c r="AL14" i="4"/>
  <c r="AK14" i="4"/>
  <c r="AI14" i="4"/>
  <c r="AP14" i="4" s="1"/>
  <c r="AQ14" i="4" s="1"/>
  <c r="AS14" i="4" s="1"/>
  <c r="AH14" i="4"/>
  <c r="AJ12" i="4"/>
  <c r="AR11" i="4"/>
  <c r="AN11" i="4"/>
  <c r="AM11" i="4"/>
  <c r="AL11" i="4"/>
  <c r="AK11" i="4"/>
  <c r="AH11" i="4"/>
  <c r="AJ9" i="4"/>
  <c r="AR8" i="4"/>
  <c r="AN8" i="4"/>
  <c r="AM8" i="4"/>
  <c r="AL8" i="4"/>
  <c r="AK8" i="4"/>
  <c r="AI8" i="4"/>
  <c r="AP8" i="4" s="1"/>
  <c r="AQ8" i="4" s="1"/>
  <c r="AS8" i="4" s="1"/>
  <c r="AH8" i="4"/>
  <c r="AJ6" i="4"/>
  <c r="AJ68" i="4" s="1"/>
  <c r="AR5" i="4"/>
  <c r="AR68" i="4" s="1"/>
  <c r="AN5" i="4"/>
  <c r="AN68" i="4" s="1"/>
  <c r="AM5" i="4"/>
  <c r="AM68" i="4" s="1"/>
  <c r="AL5" i="4"/>
  <c r="AL68" i="4" s="1"/>
  <c r="AK5" i="4"/>
  <c r="AK68" i="4" s="1"/>
  <c r="AH5" i="4"/>
  <c r="AH68" i="4" s="1"/>
  <c r="AI5" i="4" l="1"/>
  <c r="AI11" i="4"/>
  <c r="AP11" i="4" s="1"/>
  <c r="AQ11" i="4" s="1"/>
  <c r="AS11" i="4" s="1"/>
  <c r="AI17" i="4"/>
  <c r="AP17" i="4" s="1"/>
  <c r="AQ17" i="4" s="1"/>
  <c r="AS17" i="4" s="1"/>
  <c r="AI23" i="4"/>
  <c r="AP23" i="4" s="1"/>
  <c r="AQ23" i="4" s="1"/>
  <c r="AS23" i="4" s="1"/>
  <c r="AI29" i="4"/>
  <c r="AP29" i="4" s="1"/>
  <c r="AQ29" i="4" s="1"/>
  <c r="AS29" i="4" s="1"/>
  <c r="AI35" i="4"/>
  <c r="AP35" i="4" s="1"/>
  <c r="AQ35" i="4" s="1"/>
  <c r="AS35" i="4" s="1"/>
  <c r="AI41" i="4"/>
  <c r="AP41" i="4" s="1"/>
  <c r="AQ41" i="4" s="1"/>
  <c r="AS41" i="4" s="1"/>
  <c r="AI47" i="4"/>
  <c r="AP47" i="4" s="1"/>
  <c r="AQ47" i="4" s="1"/>
  <c r="AS47" i="4" s="1"/>
  <c r="AI53" i="4"/>
  <c r="AP53" i="4" s="1"/>
  <c r="AQ53" i="4" s="1"/>
  <c r="AS53" i="4" s="1"/>
  <c r="AI59" i="4"/>
  <c r="AP59" i="4" s="1"/>
  <c r="AQ59" i="4" s="1"/>
  <c r="AS59" i="4" s="1"/>
  <c r="AI65" i="4"/>
  <c r="AP65" i="4" s="1"/>
  <c r="AQ65" i="4" s="1"/>
  <c r="AS65" i="4" s="1"/>
  <c r="AH69" i="4"/>
  <c r="D71" i="4"/>
  <c r="F71" i="4"/>
  <c r="H71" i="4"/>
  <c r="J71" i="4"/>
  <c r="L71" i="4"/>
  <c r="N71" i="4"/>
  <c r="P71" i="4"/>
  <c r="R71" i="4"/>
  <c r="T71" i="4"/>
  <c r="V71" i="4"/>
  <c r="X71" i="4"/>
  <c r="Z71" i="4"/>
  <c r="AB71" i="4"/>
  <c r="AD71" i="4"/>
  <c r="AF71" i="4"/>
  <c r="AI62" i="6"/>
  <c r="AP62" i="6" s="1"/>
  <c r="AQ62" i="6" s="1"/>
  <c r="AS62" i="6" s="1"/>
  <c r="AI68" i="6"/>
  <c r="AP68" i="6" s="1"/>
  <c r="AQ68" i="6" s="1"/>
  <c r="AS68" i="6" s="1"/>
  <c r="AI74" i="6"/>
  <c r="AP74" i="6" s="1"/>
  <c r="AQ74" i="6" s="1"/>
  <c r="AS74" i="6" s="1"/>
  <c r="AQ88" i="6"/>
  <c r="AS88" i="6" s="1"/>
  <c r="AP5" i="7"/>
  <c r="AQ11" i="7"/>
  <c r="AS11" i="7" s="1"/>
  <c r="AQ32" i="7"/>
  <c r="AS32" i="7" s="1"/>
  <c r="C71" i="4"/>
  <c r="E71" i="4"/>
  <c r="G71" i="4"/>
  <c r="I71" i="4"/>
  <c r="K71" i="4"/>
  <c r="M71" i="4"/>
  <c r="O71" i="4"/>
  <c r="Q71" i="4"/>
  <c r="S71" i="4"/>
  <c r="U71" i="4"/>
  <c r="W71" i="4"/>
  <c r="Y71" i="4"/>
  <c r="AA71" i="4"/>
  <c r="AC71" i="4"/>
  <c r="AE71" i="4"/>
  <c r="AG71" i="4"/>
  <c r="AK91" i="6"/>
  <c r="AM91" i="6"/>
  <c r="AP5" i="6"/>
  <c r="AR91" i="6"/>
  <c r="AJ91" i="6"/>
  <c r="AI8" i="6"/>
  <c r="AP8" i="6" s="1"/>
  <c r="AQ8" i="6" s="1"/>
  <c r="AS8" i="6" s="1"/>
  <c r="AI14" i="6"/>
  <c r="AP14" i="6" s="1"/>
  <c r="AQ14" i="6" s="1"/>
  <c r="AS14" i="6" s="1"/>
  <c r="AI20" i="6"/>
  <c r="AP20" i="6" s="1"/>
  <c r="AQ20" i="6" s="1"/>
  <c r="AS20" i="6" s="1"/>
  <c r="AI26" i="6"/>
  <c r="AP26" i="6" s="1"/>
  <c r="AQ26" i="6" s="1"/>
  <c r="AS26" i="6" s="1"/>
  <c r="AI32" i="6"/>
  <c r="AP32" i="6" s="1"/>
  <c r="AQ32" i="6" s="1"/>
  <c r="AS32" i="6" s="1"/>
  <c r="AI38" i="6"/>
  <c r="AP38" i="6" s="1"/>
  <c r="AQ38" i="6" s="1"/>
  <c r="AS38" i="6" s="1"/>
  <c r="AI44" i="6"/>
  <c r="AP44" i="6" s="1"/>
  <c r="AQ44" i="6" s="1"/>
  <c r="AS44" i="6" s="1"/>
  <c r="AI50" i="6"/>
  <c r="AP50" i="6" s="1"/>
  <c r="AQ50" i="6" s="1"/>
  <c r="AS50" i="6" s="1"/>
  <c r="AI56" i="6"/>
  <c r="AP56" i="6" s="1"/>
  <c r="AQ56" i="6" s="1"/>
  <c r="AS56" i="6" s="1"/>
  <c r="AI85" i="6"/>
  <c r="AP85" i="6" s="1"/>
  <c r="AQ85" i="6" s="1"/>
  <c r="AS85" i="6" s="1"/>
  <c r="AQ5" i="7"/>
  <c r="AI8" i="7"/>
  <c r="AP8" i="7" s="1"/>
  <c r="AQ8" i="7" s="1"/>
  <c r="AS8" i="7" s="1"/>
  <c r="AI14" i="7"/>
  <c r="AP14" i="7" s="1"/>
  <c r="AQ14" i="7" s="1"/>
  <c r="AS14" i="7" s="1"/>
  <c r="AI23" i="7"/>
  <c r="AP23" i="7" s="1"/>
  <c r="AQ23" i="7" s="1"/>
  <c r="AS23" i="7" s="1"/>
  <c r="AU24" i="7" s="1"/>
  <c r="AU94" i="7" s="1"/>
  <c r="AI26" i="7"/>
  <c r="AP26" i="7" s="1"/>
  <c r="AQ26" i="7" s="1"/>
  <c r="AS26" i="7" s="1"/>
  <c r="AU27" i="7" s="1"/>
  <c r="AI29" i="7"/>
  <c r="AP29" i="7" s="1"/>
  <c r="AQ29" i="7" s="1"/>
  <c r="AS29" i="7" s="1"/>
  <c r="AI35" i="7"/>
  <c r="AP35" i="7" s="1"/>
  <c r="AQ35" i="7" s="1"/>
  <c r="AS35" i="7" s="1"/>
  <c r="AQ38" i="7"/>
  <c r="AS38" i="7" s="1"/>
  <c r="AI38" i="7"/>
  <c r="AP38" i="7" s="1"/>
  <c r="AQ44" i="7"/>
  <c r="AS44" i="7" s="1"/>
  <c r="AI44" i="7"/>
  <c r="AP44" i="7" s="1"/>
  <c r="AI50" i="7"/>
  <c r="AP50" i="7" s="1"/>
  <c r="AQ50" i="7" s="1"/>
  <c r="AS50" i="7" s="1"/>
  <c r="AI56" i="7"/>
  <c r="AP56" i="7" s="1"/>
  <c r="AQ56" i="7" s="1"/>
  <c r="AS56" i="7" s="1"/>
  <c r="AI62" i="7"/>
  <c r="AP62" i="7" s="1"/>
  <c r="AQ62" i="7" s="1"/>
  <c r="AS62" i="7" s="1"/>
  <c r="AI68" i="7"/>
  <c r="AP68" i="7" s="1"/>
  <c r="AQ68" i="7" s="1"/>
  <c r="AS68" i="7" s="1"/>
  <c r="AI74" i="7"/>
  <c r="AP74" i="7" s="1"/>
  <c r="AQ74" i="7" s="1"/>
  <c r="AS74" i="7" s="1"/>
  <c r="AI64" i="8"/>
  <c r="AP64" i="8" s="1"/>
  <c r="AQ64" i="8" s="1"/>
  <c r="AS64" i="8" s="1"/>
  <c r="AR5" i="7"/>
  <c r="AR94" i="7" s="1"/>
  <c r="AK70" i="8"/>
  <c r="AM70" i="8"/>
  <c r="AP5" i="8"/>
  <c r="AQ5" i="8" s="1"/>
  <c r="AS5" i="8" s="1"/>
  <c r="AQ8" i="8"/>
  <c r="AI8" i="8"/>
  <c r="AP8" i="8" s="1"/>
  <c r="AR8" i="8"/>
  <c r="AI14" i="8"/>
  <c r="AP14" i="8" s="1"/>
  <c r="AP70" i="8" s="1"/>
  <c r="AI20" i="8"/>
  <c r="AP20" i="8" s="1"/>
  <c r="AQ20" i="8" s="1"/>
  <c r="AS20" i="8" s="1"/>
  <c r="AI26" i="8"/>
  <c r="AP26" i="8" s="1"/>
  <c r="AQ26" i="8" s="1"/>
  <c r="AS26" i="8" s="1"/>
  <c r="AI32" i="8"/>
  <c r="AP32" i="8" s="1"/>
  <c r="AQ32" i="8" s="1"/>
  <c r="AS32" i="8" s="1"/>
  <c r="AI38" i="8"/>
  <c r="AP38" i="8" s="1"/>
  <c r="AQ38" i="8" s="1"/>
  <c r="AS38" i="8" s="1"/>
  <c r="AI44" i="8"/>
  <c r="AP44" i="8" s="1"/>
  <c r="AQ44" i="8" s="1"/>
  <c r="AS44" i="8" s="1"/>
  <c r="AI50" i="8"/>
  <c r="AP50" i="8" s="1"/>
  <c r="AQ50" i="8" s="1"/>
  <c r="AS50" i="8" s="1"/>
  <c r="AI5" i="9"/>
  <c r="AH71" i="9"/>
  <c r="AK71" i="9"/>
  <c r="AM71" i="9"/>
  <c r="AR5" i="9"/>
  <c r="AR71" i="9" s="1"/>
  <c r="AJ71" i="9"/>
  <c r="AL71" i="9"/>
  <c r="AN71" i="9"/>
  <c r="AS38" i="9"/>
  <c r="AR70" i="8"/>
  <c r="AQ35" i="8"/>
  <c r="AS65" i="9"/>
  <c r="AS8" i="9"/>
  <c r="AS20" i="9"/>
  <c r="AS26" i="9"/>
  <c r="AS62" i="9"/>
  <c r="AS47" i="9"/>
  <c r="AS14" i="9"/>
  <c r="AS50" i="9"/>
  <c r="AP5" i="9"/>
  <c r="AS59" i="9"/>
  <c r="AQ5" i="9"/>
  <c r="AI11" i="9"/>
  <c r="AP11" i="9" s="1"/>
  <c r="AQ11" i="9" s="1"/>
  <c r="AS11" i="9" s="1"/>
  <c r="AI17" i="9"/>
  <c r="AP17" i="9" s="1"/>
  <c r="AQ17" i="9" s="1"/>
  <c r="AS17" i="9" s="1"/>
  <c r="AI23" i="9"/>
  <c r="AP23" i="9" s="1"/>
  <c r="AQ23" i="9" s="1"/>
  <c r="AS23" i="9" s="1"/>
  <c r="AI29" i="9"/>
  <c r="AP29" i="9" s="1"/>
  <c r="AQ29" i="9" s="1"/>
  <c r="AS29" i="9" s="1"/>
  <c r="AS32" i="9"/>
  <c r="AI35" i="9"/>
  <c r="AP35" i="9" s="1"/>
  <c r="AQ35" i="9" s="1"/>
  <c r="AS35" i="9" s="1"/>
  <c r="AI41" i="9"/>
  <c r="AP41" i="9" s="1"/>
  <c r="AQ41" i="9" s="1"/>
  <c r="AS41" i="9" s="1"/>
  <c r="AI44" i="9"/>
  <c r="AP44" i="9" s="1"/>
  <c r="AQ44" i="9" s="1"/>
  <c r="AS44" i="9" s="1"/>
  <c r="AI53" i="9"/>
  <c r="AP53" i="9" s="1"/>
  <c r="AQ53" i="9" s="1"/>
  <c r="AS53" i="9" s="1"/>
  <c r="AI56" i="9"/>
  <c r="AP56" i="9" s="1"/>
  <c r="AQ56" i="9" s="1"/>
  <c r="AS56" i="9" s="1"/>
  <c r="AP71" i="9" l="1"/>
  <c r="AI71" i="9"/>
  <c r="AQ14" i="8"/>
  <c r="AS14" i="8" s="1"/>
  <c r="AP91" i="6"/>
  <c r="AQ5" i="6"/>
  <c r="AH71" i="4"/>
  <c r="AI94" i="7"/>
  <c r="AI91" i="6"/>
  <c r="AI68" i="4"/>
  <c r="AP5" i="4"/>
  <c r="AQ71" i="9"/>
  <c r="AS8" i="8"/>
  <c r="AI70" i="8"/>
  <c r="AQ94" i="7"/>
  <c r="AS5" i="7"/>
  <c r="AS94" i="7" s="1"/>
  <c r="AP94" i="7"/>
  <c r="AS35" i="8"/>
  <c r="AS70" i="8" s="1"/>
  <c r="AQ70" i="8"/>
  <c r="AS5" i="9"/>
  <c r="AS71" i="9" s="1"/>
  <c r="AP68" i="4" l="1"/>
  <c r="AQ5" i="4"/>
  <c r="AQ91" i="6"/>
  <c r="AS5" i="6"/>
  <c r="AS91" i="6" s="1"/>
  <c r="AQ68" i="4" l="1"/>
  <c r="AS5" i="4"/>
  <c r="AS68" i="4" s="1"/>
</calcChain>
</file>

<file path=xl/sharedStrings.xml><?xml version="1.0" encoding="utf-8"?>
<sst xmlns="http://schemas.openxmlformats.org/spreadsheetml/2006/main" count="4908" uniqueCount="148">
  <si>
    <t>OT HOURS</t>
  </si>
  <si>
    <t xml:space="preserve">NAME </t>
  </si>
  <si>
    <t xml:space="preserve">SI NO </t>
  </si>
  <si>
    <t>TN.NO2599(BM)D.91DATED:16/05/2020</t>
  </si>
  <si>
    <t>WORK:R/B CAPITALMAINT OF HP VALVES,SOOT BLOWERS&amp;FO HEATING SYSTEM UNIT#1 706, STPS          Dt-29/04/2023</t>
  </si>
  <si>
    <t>S.NO</t>
  </si>
  <si>
    <t>BILL NO</t>
  </si>
  <si>
    <t>DATE</t>
  </si>
  <si>
    <t>PERIOD FROM - TO</t>
  </si>
  <si>
    <t>BILL AMOUNT</t>
  </si>
  <si>
    <t>SD</t>
  </si>
  <si>
    <t>IT</t>
  </si>
  <si>
    <t>IGST</t>
  </si>
  <si>
    <t>NET AMOUNT</t>
  </si>
  <si>
    <t>REMARKS</t>
  </si>
  <si>
    <t>BSS/STPS/2599/MS NO.14</t>
  </si>
  <si>
    <t>BSS/STPS/2599/MS NO.49</t>
  </si>
  <si>
    <t>BSS/STPS/2599/MS NO.35</t>
  </si>
  <si>
    <t>26/09/2020</t>
  </si>
  <si>
    <t>25/03/2021</t>
  </si>
  <si>
    <t>25/08/2021</t>
  </si>
  <si>
    <t>26/08/2021</t>
  </si>
  <si>
    <t>01/08/2020 to 31/08/2020</t>
  </si>
  <si>
    <t>SD Adjust EMD</t>
  </si>
  <si>
    <t>01/09/2020 to 28/02/2021</t>
  </si>
  <si>
    <t>01/03/2021 to 12/05/2021</t>
  </si>
  <si>
    <t>13/05/2021 to 12/08/2021</t>
  </si>
  <si>
    <t>BSS/STPS/2599/MS NO.36                                                                                                                               EXTRA D-69 DT03/05/2021</t>
  </si>
  <si>
    <t>BSS/STPS/2701/MS NO.52</t>
  </si>
  <si>
    <t>BSS/STPS/2701/MS NO.57</t>
  </si>
  <si>
    <t>BSS/STPS/2701/MS NO.03</t>
  </si>
  <si>
    <t>BSS/STPS/2701/MS NO.13</t>
  </si>
  <si>
    <t>BSS/STPS/2701/MS NO.23                              Amendment -ID-498 Dated 06/09/2022</t>
  </si>
  <si>
    <t>26/02/2022</t>
  </si>
  <si>
    <t>16/05/2022</t>
  </si>
  <si>
    <t>13/08/2021 to 30/11/2021</t>
  </si>
  <si>
    <t xml:space="preserve">01/12/2021 to 31/01/2022 </t>
  </si>
  <si>
    <t>01/02/2022 to 30/04/2022</t>
  </si>
  <si>
    <t>01/05/2022 to 31/08/2022</t>
  </si>
  <si>
    <t>01/09/2022 to 12/11/2022</t>
  </si>
  <si>
    <t>VISMA ASSOCIATES Structural Engineers &amp; Builders</t>
  </si>
  <si>
    <t>P</t>
  </si>
  <si>
    <t>BAASHYAM</t>
  </si>
  <si>
    <t>RCML</t>
  </si>
  <si>
    <t>PREMIER</t>
  </si>
  <si>
    <t>BAKERS</t>
  </si>
  <si>
    <t>SALARY</t>
  </si>
  <si>
    <t>PROJECT</t>
  </si>
  <si>
    <t>PAYMENT</t>
  </si>
  <si>
    <t xml:space="preserve">TOTAL </t>
  </si>
  <si>
    <t>BACKERS</t>
  </si>
  <si>
    <t>OT</t>
  </si>
  <si>
    <t>AB</t>
  </si>
  <si>
    <t xml:space="preserve"> PRESENT</t>
  </si>
  <si>
    <t>HALF PRESENT</t>
  </si>
  <si>
    <t>HALF SALARY</t>
  </si>
  <si>
    <t>P/2</t>
  </si>
  <si>
    <t>OT SALARY</t>
  </si>
  <si>
    <t>TOTAL SALARY</t>
  </si>
  <si>
    <t>PRESENT SALARY</t>
  </si>
  <si>
    <t>COIMBATORE</t>
  </si>
  <si>
    <t>RAJU (FTR)</t>
  </si>
  <si>
    <t>GAURAV (JR.FTR)</t>
  </si>
  <si>
    <t>RAVI (JR.FTR)</t>
  </si>
  <si>
    <t>KARAN</t>
  </si>
  <si>
    <t>AMITH (RGR)</t>
  </si>
  <si>
    <t>SURAJ (W)</t>
  </si>
  <si>
    <t>GANDHI (RGR)</t>
  </si>
  <si>
    <t>RAJA (HLPR)</t>
  </si>
  <si>
    <t>DHILIP (W)</t>
  </si>
  <si>
    <t>SANJAY (HLPR)</t>
  </si>
  <si>
    <t>AMIT(W)</t>
  </si>
  <si>
    <t>ANKATH (RGR)</t>
  </si>
  <si>
    <t>SURAJ NEW (W)</t>
  </si>
  <si>
    <t>LALAN KUMAR (W)</t>
  </si>
  <si>
    <t xml:space="preserve">BIRENDER </t>
  </si>
  <si>
    <t>RUPESH (G.CUTTER)</t>
  </si>
  <si>
    <t>VISHAL (HLPR)</t>
  </si>
  <si>
    <t>GURUSARAN KUMAR</t>
  </si>
  <si>
    <t>ROHITH (W)</t>
  </si>
  <si>
    <t>PRATHAP (W)</t>
  </si>
  <si>
    <t>GAURAV NEW</t>
  </si>
  <si>
    <t>ADVANCE</t>
  </si>
  <si>
    <t>LAST MONTH PENDING BALANCE</t>
  </si>
  <si>
    <t>BALANCE</t>
  </si>
  <si>
    <t>october - 2024                                                                                                                                                                                                                                                                                                                                        DATE</t>
  </si>
  <si>
    <t>SEP- 2024                                                                                                                                                                                                                                                                                                                                        DATE</t>
  </si>
  <si>
    <t>SURAJ RAM</t>
  </si>
  <si>
    <t>JITHENDERKUMAR</t>
  </si>
  <si>
    <t>RAMBALAK</t>
  </si>
  <si>
    <t>RAVIKUMAR</t>
  </si>
  <si>
    <t>CHHOTTUKUMAR</t>
  </si>
  <si>
    <t>DHARAMVEER</t>
  </si>
  <si>
    <t>GAJEMUKHIYA</t>
  </si>
  <si>
    <t>MANTUN</t>
  </si>
  <si>
    <t>SACHINKUMAR</t>
  </si>
  <si>
    <t>Oct- 2024                                                                                                                                                                                                                                                                                                                                        DATE</t>
  </si>
  <si>
    <t>S P KUMAR</t>
  </si>
  <si>
    <t>S KUMAR</t>
  </si>
  <si>
    <t>MANTUN (F)</t>
  </si>
  <si>
    <t>MANISH KUMAR</t>
  </si>
  <si>
    <t>SURAJ KUMAR CHOUDRY</t>
  </si>
  <si>
    <t>Nov- 2024                                                                                                                                                                                                                                                                                                                                        DATE</t>
  </si>
  <si>
    <t>_</t>
  </si>
  <si>
    <t>__</t>
  </si>
  <si>
    <t>Dec- 2024                                                                                                                                                                                                                                                                                                                                        DATE</t>
  </si>
  <si>
    <t xml:space="preserve">GAURAV </t>
  </si>
  <si>
    <t>PREAM</t>
  </si>
  <si>
    <t>INDEL KUMAR</t>
  </si>
  <si>
    <t>RAVI FITTER</t>
  </si>
  <si>
    <t>TOTAL</t>
  </si>
  <si>
    <t>27 p</t>
  </si>
  <si>
    <t>AMIT (W)</t>
  </si>
  <si>
    <t>RAVI (F)</t>
  </si>
  <si>
    <t>SURAJ (F)</t>
  </si>
  <si>
    <t>HIMANSHU GUPTA (H)</t>
  </si>
  <si>
    <t>MAY-2026                                                                                                                                                                                                                                                                                                                                       DATE</t>
  </si>
  <si>
    <t>GAURAV</t>
  </si>
  <si>
    <t>PRASATH(H)</t>
  </si>
  <si>
    <t>KUNTHAN (H)</t>
  </si>
  <si>
    <t>LALMOHAN (H)</t>
  </si>
  <si>
    <t>AMBETH TEAM</t>
  </si>
  <si>
    <t>SONU (F)</t>
  </si>
  <si>
    <t>PROMOD (F)</t>
  </si>
  <si>
    <t>BAJINATH KUMAR (F)</t>
  </si>
  <si>
    <t>DEVENDRA SHA (W)</t>
  </si>
  <si>
    <t>SHIVAKUMAR (W)</t>
  </si>
  <si>
    <t>DURGESH KUSHWALA (W)</t>
  </si>
  <si>
    <t>DASHARATH KUSHWALA (W)</t>
  </si>
  <si>
    <t>AKILESH YADAV (H)</t>
  </si>
  <si>
    <t>INDRADEV (H)</t>
  </si>
  <si>
    <t>PRAHALAD MAHTO (H)</t>
  </si>
  <si>
    <t>TRILOKI (H)</t>
  </si>
  <si>
    <t>GIRIJESH KUSHWALA (H)</t>
  </si>
  <si>
    <t>ASHISH (RGR)</t>
  </si>
  <si>
    <t>KRISHNA KUMAR (F)</t>
  </si>
  <si>
    <t>SATHISH (CNC OPERATOR)</t>
  </si>
  <si>
    <t>VISMA</t>
  </si>
  <si>
    <t>`</t>
  </si>
  <si>
    <t>JANUDEEN (W)</t>
  </si>
  <si>
    <t>HARINDHAR CHOUDRY (W)</t>
  </si>
  <si>
    <t>KAUSHLENDAR</t>
  </si>
  <si>
    <t>SALARY 28 DAYS</t>
  </si>
  <si>
    <t>NITHISH KUMAR(F)</t>
  </si>
  <si>
    <t>NITHISH KUMAR LAUHAR(W)</t>
  </si>
  <si>
    <t>R NITHISH CHOUDHARY(W)</t>
  </si>
  <si>
    <t>PRINCE KUMAR CHOUDHARY(H)</t>
  </si>
  <si>
    <t>S PRINCE(RGR)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</si>
</sst>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6"/>
      <color theme="1"/>
      <name val="Algerian"/>
      <family val="5"/>
    </font>
    <font>
      <b/>
      <sz val="20"/>
      <color theme="1"/>
      <name val="Algerian"/>
      <family val="5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7">
    <xf numFmtId="0" fontId="0" fillId="0" borderId="0" xfId="0"/>
    <xf numFmtId="17" fontId="3" fillId="0" borderId="2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0" fillId="0" borderId="0" xfId="0" applyNumberFormat="1"/>
    <xf numFmtId="1" fontId="3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164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164" fontId="0" fillId="0" borderId="23" xfId="0" applyNumberFormat="1" applyBorder="1"/>
    <xf numFmtId="0" fontId="0" fillId="0" borderId="24" xfId="0" applyBorder="1"/>
    <xf numFmtId="17" fontId="3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164" fontId="1" fillId="4" borderId="7" xfId="0" applyNumberFormat="1" applyFont="1" applyFill="1" applyBorder="1" applyAlignment="1">
      <alignment vertical="center"/>
    </xf>
    <xf numFmtId="0" fontId="0" fillId="6" borderId="1" xfId="0" applyFill="1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6" borderId="1" xfId="0" applyFill="1" applyBorder="1" applyAlignment="1">
      <alignment horizontal="left"/>
    </xf>
    <xf numFmtId="17" fontId="3" fillId="5" borderId="2" xfId="0" applyNumberFormat="1" applyFont="1" applyFill="1" applyBorder="1" applyAlignment="1">
      <alignment horizontal="center" vertical="center"/>
    </xf>
    <xf numFmtId="17" fontId="3" fillId="6" borderId="2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5" fillId="3" borderId="3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0" fillId="3" borderId="11" xfId="0" applyFill="1" applyBorder="1" applyAlignment="1"/>
    <xf numFmtId="0" fontId="0" fillId="3" borderId="9" xfId="0" applyFill="1" applyBorder="1" applyAlignment="1"/>
    <xf numFmtId="0" fontId="0" fillId="3" borderId="12" xfId="0" applyFill="1" applyBorder="1" applyAlignment="1"/>
    <xf numFmtId="0" fontId="0" fillId="3" borderId="1" xfId="0" applyFill="1" applyBorder="1" applyAlignment="1"/>
    <xf numFmtId="0" fontId="0" fillId="3" borderId="14" xfId="0" applyFill="1" applyBorder="1" applyAlignment="1"/>
    <xf numFmtId="0" fontId="5" fillId="3" borderId="16" xfId="0" applyFont="1" applyFill="1" applyBorder="1" applyAlignment="1">
      <alignment vertical="center" wrapText="1"/>
    </xf>
    <xf numFmtId="0" fontId="5" fillId="3" borderId="17" xfId="0" applyFont="1" applyFill="1" applyBorder="1" applyAlignment="1">
      <alignment vertical="center" wrapText="1"/>
    </xf>
    <xf numFmtId="1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0" fontId="0" fillId="4" borderId="0" xfId="0" applyFill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8" fillId="7" borderId="1" xfId="0" applyFont="1" applyFill="1" applyBorder="1"/>
    <xf numFmtId="164" fontId="8" fillId="7" borderId="1" xfId="0" applyNumberFormat="1" applyFont="1" applyFill="1" applyBorder="1"/>
    <xf numFmtId="0" fontId="8" fillId="7" borderId="1" xfId="0" applyFont="1" applyFill="1" applyBorder="1" applyAlignment="1">
      <alignment vertical="center"/>
    </xf>
    <xf numFmtId="1" fontId="8" fillId="7" borderId="1" xfId="0" applyNumberFormat="1" applyFont="1" applyFill="1" applyBorder="1" applyAlignment="1">
      <alignment vertical="center"/>
    </xf>
    <xf numFmtId="1" fontId="8" fillId="7" borderId="1" xfId="0" applyNumberFormat="1" applyFont="1" applyFill="1" applyBorder="1"/>
    <xf numFmtId="0" fontId="0" fillId="0" borderId="0" xfId="0" applyBorder="1"/>
    <xf numFmtId="0" fontId="9" fillId="0" borderId="1" xfId="0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0" fillId="4" borderId="0" xfId="0" applyFill="1" applyBorder="1"/>
    <xf numFmtId="0" fontId="0" fillId="0" borderId="0" xfId="0" applyAlignment="1">
      <alignment horizontal="center"/>
    </xf>
    <xf numFmtId="0" fontId="0" fillId="4" borderId="0" xfId="0" applyFill="1"/>
    <xf numFmtId="0" fontId="9" fillId="0" borderId="3" xfId="0" applyFont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1" fontId="0" fillId="0" borderId="0" xfId="0" applyNumberFormat="1" applyFont="1" applyBorder="1" applyAlignment="1">
      <alignment horizontal="center" vertical="center"/>
    </xf>
    <xf numFmtId="0" fontId="0" fillId="0" borderId="0" xfId="0" applyFont="1"/>
    <xf numFmtId="17" fontId="13" fillId="4" borderId="1" xfId="0" applyNumberFormat="1" applyFont="1" applyFill="1" applyBorder="1" applyAlignment="1">
      <alignment horizontal="center" vertical="center"/>
    </xf>
    <xf numFmtId="17" fontId="13" fillId="5" borderId="1" xfId="0" applyNumberFormat="1" applyFont="1" applyFill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1" fontId="13" fillId="5" borderId="1" xfId="0" applyNumberFormat="1" applyFont="1" applyFill="1" applyBorder="1" applyAlignment="1">
      <alignment horizontal="center" vertical="center"/>
    </xf>
    <xf numFmtId="0" fontId="13" fillId="4" borderId="1" xfId="0" applyNumberFormat="1" applyFont="1" applyFill="1" applyBorder="1" applyAlignment="1">
      <alignment horizontal="center" vertical="center"/>
    </xf>
    <xf numFmtId="0" fontId="13" fillId="5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right" vertical="center" indent="1"/>
    </xf>
    <xf numFmtId="0" fontId="13" fillId="5" borderId="1" xfId="0" applyFont="1" applyFill="1" applyBorder="1" applyAlignment="1">
      <alignment horizontal="right" vertical="center" indent="1"/>
    </xf>
    <xf numFmtId="0" fontId="13" fillId="5" borderId="1" xfId="0" applyFont="1" applyFill="1" applyBorder="1" applyAlignment="1">
      <alignment horizontal="center" vertical="center"/>
    </xf>
    <xf numFmtId="16" fontId="13" fillId="4" borderId="1" xfId="0" applyNumberFormat="1" applyFont="1" applyFill="1" applyBorder="1" applyAlignment="1">
      <alignment horizontal="center" vertical="center"/>
    </xf>
    <xf numFmtId="0" fontId="0" fillId="4" borderId="0" xfId="0" applyFill="1" applyBorder="1" applyAlignment="1">
      <alignment vertical="center"/>
    </xf>
    <xf numFmtId="164" fontId="0" fillId="0" borderId="1" xfId="0" applyNumberFormat="1" applyBorder="1"/>
    <xf numFmtId="1" fontId="1" fillId="4" borderId="0" xfId="0" applyNumberFormat="1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13" borderId="4" xfId="0" applyFont="1" applyFill="1" applyBorder="1" applyAlignment="1">
      <alignment vertical="center"/>
    </xf>
    <xf numFmtId="0" fontId="0" fillId="5" borderId="0" xfId="0" applyFill="1"/>
    <xf numFmtId="0" fontId="12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/>
    </xf>
    <xf numFmtId="0" fontId="1" fillId="15" borderId="2" xfId="0" applyFont="1" applyFill="1" applyBorder="1" applyAlignment="1">
      <alignment vertical="center"/>
    </xf>
    <xf numFmtId="1" fontId="1" fillId="15" borderId="0" xfId="0" applyNumberFormat="1" applyFont="1" applyFill="1" applyBorder="1" applyAlignment="1">
      <alignment vertical="center"/>
    </xf>
    <xf numFmtId="0" fontId="0" fillId="15" borderId="0" xfId="0" applyFill="1" applyBorder="1"/>
    <xf numFmtId="0" fontId="0" fillId="15" borderId="0" xfId="0" applyFill="1"/>
    <xf numFmtId="0" fontId="13" fillId="9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" fontId="1" fillId="15" borderId="28" xfId="0" applyNumberFormat="1" applyFont="1" applyFill="1" applyBorder="1" applyAlignment="1">
      <alignment vertical="center" wrapText="1"/>
    </xf>
    <xf numFmtId="1" fontId="10" fillId="8" borderId="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vertical="center"/>
    </xf>
    <xf numFmtId="0" fontId="12" fillId="7" borderId="1" xfId="0" applyFont="1" applyFill="1" applyBorder="1" applyAlignment="1">
      <alignment horizontal="right" vertical="center" indent="1"/>
    </xf>
    <xf numFmtId="0" fontId="14" fillId="15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164" fontId="1" fillId="15" borderId="1" xfId="0" applyNumberFormat="1" applyFont="1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1" fontId="0" fillId="15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10" fillId="5" borderId="1" xfId="0" applyFont="1" applyFill="1" applyBorder="1" applyAlignment="1">
      <alignment horizontal="center" wrapText="1"/>
    </xf>
    <xf numFmtId="1" fontId="11" fillId="0" borderId="1" xfId="0" applyNumberFormat="1" applyFont="1" applyFill="1" applyBorder="1" applyAlignment="1">
      <alignment horizontal="center" vertical="center"/>
    </xf>
    <xf numFmtId="1" fontId="9" fillId="14" borderId="4" xfId="0" applyNumberFormat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 vertical="center"/>
    </xf>
    <xf numFmtId="0" fontId="1" fillId="13" borderId="26" xfId="0" applyFont="1" applyFill="1" applyBorder="1" applyAlignment="1">
      <alignment vertical="center" wrapText="1"/>
    </xf>
    <xf numFmtId="0" fontId="1" fillId="13" borderId="27" xfId="0" applyFont="1" applyFill="1" applyBorder="1" applyAlignment="1">
      <alignment vertical="center" wrapText="1"/>
    </xf>
    <xf numFmtId="0" fontId="1" fillId="13" borderId="0" xfId="0" applyFont="1" applyFill="1" applyBorder="1" applyAlignment="1">
      <alignment vertical="center" wrapText="1"/>
    </xf>
    <xf numFmtId="0" fontId="1" fillId="13" borderId="32" xfId="0" applyFont="1" applyFill="1" applyBorder="1" applyAlignment="1">
      <alignment vertical="center" wrapText="1"/>
    </xf>
    <xf numFmtId="0" fontId="1" fillId="13" borderId="31" xfId="0" applyFont="1" applyFill="1" applyBorder="1" applyAlignment="1">
      <alignment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 indent="1"/>
    </xf>
    <xf numFmtId="0" fontId="2" fillId="0" borderId="7" xfId="0" applyFont="1" applyBorder="1" applyAlignment="1">
      <alignment horizontal="right" vertical="center" indent="1"/>
    </xf>
    <xf numFmtId="0" fontId="2" fillId="0" borderId="2" xfId="0" applyFont="1" applyBorder="1" applyAlignment="1">
      <alignment horizontal="right" vertical="center" inden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6" fillId="2" borderId="1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1" fontId="0" fillId="4" borderId="3" xfId="0" applyNumberFormat="1" applyFill="1" applyBorder="1" applyAlignment="1">
      <alignment horizontal="center" vertical="center"/>
    </xf>
    <xf numFmtId="1" fontId="0" fillId="4" borderId="7" xfId="0" applyNumberFormat="1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164" fontId="1" fillId="0" borderId="3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11" borderId="3" xfId="0" applyFont="1" applyFill="1" applyBorder="1" applyAlignment="1">
      <alignment horizontal="left" vertical="center" wrapText="1"/>
    </xf>
    <xf numFmtId="0" fontId="2" fillId="11" borderId="7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center" vertical="center" wrapText="1"/>
    </xf>
    <xf numFmtId="1" fontId="9" fillId="12" borderId="3" xfId="0" applyNumberFormat="1" applyFont="1" applyFill="1" applyBorder="1" applyAlignment="1">
      <alignment horizontal="center" vertical="center"/>
    </xf>
    <xf numFmtId="1" fontId="9" fillId="12" borderId="7" xfId="0" applyNumberFormat="1" applyFont="1" applyFill="1" applyBorder="1" applyAlignment="1">
      <alignment horizontal="center" vertical="center"/>
    </xf>
    <xf numFmtId="1" fontId="9" fillId="12" borderId="2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10" borderId="33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1" fontId="9" fillId="15" borderId="3" xfId="0" applyNumberFormat="1" applyFont="1" applyFill="1" applyBorder="1" applyAlignment="1">
      <alignment horizontal="center"/>
    </xf>
    <xf numFmtId="1" fontId="9" fillId="15" borderId="7" xfId="0" applyNumberFormat="1" applyFont="1" applyFill="1" applyBorder="1" applyAlignment="1">
      <alignment horizontal="center"/>
    </xf>
    <xf numFmtId="1" fontId="9" fillId="15" borderId="2" xfId="0" applyNumberFormat="1" applyFont="1" applyFill="1" applyBorder="1" applyAlignment="1">
      <alignment horizontal="center"/>
    </xf>
    <xf numFmtId="1" fontId="1" fillId="10" borderId="27" xfId="0" applyNumberFormat="1" applyFont="1" applyFill="1" applyBorder="1" applyAlignment="1">
      <alignment horizontal="center" vertical="center"/>
    </xf>
    <xf numFmtId="0" fontId="1" fillId="10" borderId="31" xfId="0" applyFont="1" applyFill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/>
    </xf>
    <xf numFmtId="1" fontId="9" fillId="0" borderId="7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" fontId="1" fillId="4" borderId="1" xfId="0" applyNumberFormat="1" applyFont="1" applyFill="1" applyBorder="1" applyAlignment="1">
      <alignment horizontal="center" vertical="center"/>
    </xf>
    <xf numFmtId="1" fontId="1" fillId="12" borderId="1" xfId="0" applyNumberFormat="1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wrapText="1"/>
    </xf>
    <xf numFmtId="0" fontId="12" fillId="0" borderId="1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right" vertical="center" indent="1"/>
    </xf>
    <xf numFmtId="16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1" fontId="1" fillId="12" borderId="4" xfId="0" applyNumberFormat="1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241"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84"/>
  <sheetViews>
    <sheetView view="pageBreakPreview" zoomScale="55" zoomScaleNormal="100" zoomScaleSheetLayoutView="55" workbookViewId="0">
      <pane ySplit="4" topLeftCell="A5" activePane="bottomLeft" state="frozen"/>
      <selection activeCell="A4" sqref="A4"/>
      <selection pane="bottomLeft" activeCell="AM20" sqref="AM20:AM22"/>
    </sheetView>
  </sheetViews>
  <sheetFormatPr defaultRowHeight="15" x14ac:dyDescent="0.25"/>
  <cols>
    <col min="1" max="1" width="6.28515625" customWidth="1"/>
    <col min="2" max="2" width="24.140625" customWidth="1"/>
    <col min="3" max="3" width="9" bestFit="1" customWidth="1"/>
    <col min="4" max="4" width="5.7109375" customWidth="1"/>
    <col min="5" max="33" width="4.85546875" customWidth="1"/>
    <col min="34" max="35" width="7.42578125" customWidth="1"/>
    <col min="36" max="36" width="6.140625" style="17" customWidth="1"/>
    <col min="37" max="37" width="7.5703125" customWidth="1"/>
    <col min="38" max="38" width="5.5703125" customWidth="1"/>
    <col min="39" max="39" width="7.28515625" customWidth="1"/>
    <col min="40" max="40" width="6.7109375" customWidth="1"/>
    <col min="41" max="41" width="7" customWidth="1"/>
    <col min="42" max="42" width="7.140625" customWidth="1"/>
    <col min="43" max="43" width="8.85546875" customWidth="1"/>
    <col min="44" max="44" width="8.140625" customWidth="1"/>
    <col min="45" max="45" width="12.7109375" bestFit="1" customWidth="1"/>
  </cols>
  <sheetData>
    <row r="1" spans="1:45" ht="28.5" x14ac:dyDescent="0.25">
      <c r="A1" s="142" t="s">
        <v>40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4"/>
      <c r="AK1" s="145"/>
      <c r="AL1" s="146"/>
      <c r="AM1" s="146"/>
      <c r="AN1" s="146"/>
      <c r="AO1" s="146"/>
      <c r="AP1" s="146"/>
      <c r="AQ1" s="146"/>
      <c r="AR1" s="146"/>
      <c r="AS1" s="147"/>
    </row>
    <row r="2" spans="1:45" ht="21.75" x14ac:dyDescent="0.25">
      <c r="A2" s="148" t="s">
        <v>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50"/>
      <c r="AK2" s="151" t="s">
        <v>47</v>
      </c>
      <c r="AL2" s="151"/>
      <c r="AM2" s="151"/>
      <c r="AN2" s="151"/>
      <c r="AO2" s="151" t="s">
        <v>48</v>
      </c>
      <c r="AP2" s="151"/>
      <c r="AQ2" s="151"/>
      <c r="AR2" s="151"/>
      <c r="AS2" s="152"/>
    </row>
    <row r="3" spans="1:45" ht="27" customHeight="1" x14ac:dyDescent="0.25">
      <c r="A3" s="153" t="s">
        <v>2</v>
      </c>
      <c r="B3" s="154" t="s">
        <v>1</v>
      </c>
      <c r="C3" s="155" t="s">
        <v>85</v>
      </c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6" t="s">
        <v>53</v>
      </c>
      <c r="AI3" s="157" t="s">
        <v>54</v>
      </c>
      <c r="AJ3" s="157" t="s">
        <v>0</v>
      </c>
      <c r="AK3" s="157" t="s">
        <v>42</v>
      </c>
      <c r="AL3" s="157" t="s">
        <v>43</v>
      </c>
      <c r="AM3" s="157" t="s">
        <v>44</v>
      </c>
      <c r="AN3" s="157" t="s">
        <v>45</v>
      </c>
      <c r="AO3" s="157" t="s">
        <v>46</v>
      </c>
      <c r="AP3" s="157" t="s">
        <v>55</v>
      </c>
      <c r="AQ3" s="157" t="s">
        <v>59</v>
      </c>
      <c r="AR3" s="157" t="s">
        <v>57</v>
      </c>
      <c r="AS3" s="159" t="s">
        <v>58</v>
      </c>
    </row>
    <row r="4" spans="1:45" ht="27" customHeight="1" x14ac:dyDescent="0.25">
      <c r="A4" s="153"/>
      <c r="B4" s="154"/>
      <c r="C4" s="18">
        <v>1</v>
      </c>
      <c r="D4" s="18">
        <v>2</v>
      </c>
      <c r="E4" s="18">
        <v>3</v>
      </c>
      <c r="F4" s="25">
        <v>4</v>
      </c>
      <c r="G4" s="18">
        <v>5</v>
      </c>
      <c r="H4" s="18">
        <v>6</v>
      </c>
      <c r="I4" s="18">
        <v>7</v>
      </c>
      <c r="J4" s="18">
        <v>8</v>
      </c>
      <c r="K4" s="18">
        <v>9</v>
      </c>
      <c r="L4" s="18">
        <v>10</v>
      </c>
      <c r="M4" s="25">
        <v>11</v>
      </c>
      <c r="N4" s="18">
        <v>12</v>
      </c>
      <c r="O4" s="18">
        <v>13</v>
      </c>
      <c r="P4" s="18">
        <v>14</v>
      </c>
      <c r="Q4" s="18">
        <v>15</v>
      </c>
      <c r="R4" s="18">
        <v>16</v>
      </c>
      <c r="S4" s="18">
        <v>17</v>
      </c>
      <c r="T4" s="25">
        <v>18</v>
      </c>
      <c r="U4" s="18">
        <v>19</v>
      </c>
      <c r="V4" s="18">
        <v>20</v>
      </c>
      <c r="W4" s="18">
        <v>21</v>
      </c>
      <c r="X4" s="18">
        <v>22</v>
      </c>
      <c r="Y4" s="18">
        <v>23</v>
      </c>
      <c r="Z4" s="18">
        <v>24</v>
      </c>
      <c r="AA4" s="25">
        <v>25</v>
      </c>
      <c r="AB4" s="18">
        <v>26</v>
      </c>
      <c r="AC4" s="18">
        <v>27</v>
      </c>
      <c r="AD4" s="18">
        <v>28</v>
      </c>
      <c r="AE4" s="18">
        <v>29</v>
      </c>
      <c r="AF4" s="18">
        <v>30</v>
      </c>
      <c r="AG4" s="18">
        <v>31</v>
      </c>
      <c r="AH4" s="156"/>
      <c r="AI4" s="158"/>
      <c r="AJ4" s="158"/>
      <c r="AK4" s="158"/>
      <c r="AL4" s="158"/>
      <c r="AM4" s="158"/>
      <c r="AN4" s="158"/>
      <c r="AO4" s="158"/>
      <c r="AP4" s="158"/>
      <c r="AQ4" s="158"/>
      <c r="AR4" s="158"/>
      <c r="AS4" s="160"/>
    </row>
    <row r="5" spans="1:45" x14ac:dyDescent="0.25">
      <c r="A5" s="131">
        <v>1</v>
      </c>
      <c r="B5" s="123" t="s">
        <v>61</v>
      </c>
      <c r="C5" s="1" t="s">
        <v>41</v>
      </c>
      <c r="D5" s="1" t="s">
        <v>41</v>
      </c>
      <c r="E5" s="1" t="s">
        <v>41</v>
      </c>
      <c r="F5" s="1" t="s">
        <v>41</v>
      </c>
      <c r="G5" s="24" t="s">
        <v>41</v>
      </c>
      <c r="H5" s="1" t="s">
        <v>41</v>
      </c>
      <c r="I5" s="1" t="s">
        <v>41</v>
      </c>
      <c r="J5" s="1" t="s">
        <v>41</v>
      </c>
      <c r="K5" s="1" t="s">
        <v>41</v>
      </c>
      <c r="L5" s="1" t="s">
        <v>41</v>
      </c>
      <c r="M5" s="1" t="s">
        <v>41</v>
      </c>
      <c r="N5" s="1" t="s">
        <v>41</v>
      </c>
      <c r="O5" s="1" t="s">
        <v>41</v>
      </c>
      <c r="P5" s="1" t="s">
        <v>41</v>
      </c>
      <c r="Q5" s="1" t="s">
        <v>52</v>
      </c>
      <c r="R5" s="1" t="s">
        <v>52</v>
      </c>
      <c r="S5" s="1" t="s">
        <v>52</v>
      </c>
      <c r="T5" s="1" t="s">
        <v>41</v>
      </c>
      <c r="U5" s="1" t="s">
        <v>41</v>
      </c>
      <c r="V5" s="1" t="s">
        <v>41</v>
      </c>
      <c r="W5" s="1" t="s">
        <v>41</v>
      </c>
      <c r="X5" s="1" t="s">
        <v>41</v>
      </c>
      <c r="Y5" s="1" t="s">
        <v>41</v>
      </c>
      <c r="Z5" s="1" t="s">
        <v>41</v>
      </c>
      <c r="AA5" s="1" t="s">
        <v>41</v>
      </c>
      <c r="AB5" s="1" t="s">
        <v>56</v>
      </c>
      <c r="AC5" s="1" t="s">
        <v>41</v>
      </c>
      <c r="AD5" s="1" t="s">
        <v>41</v>
      </c>
      <c r="AE5" s="1" t="s">
        <v>41</v>
      </c>
      <c r="AF5" s="1" t="s">
        <v>41</v>
      </c>
      <c r="AG5" s="1" t="s">
        <v>41</v>
      </c>
      <c r="AH5" s="134">
        <f>COUNTIF(C5:AG5,"P")</f>
        <v>27</v>
      </c>
      <c r="AI5" s="134">
        <f>COUNTIF(D5:AH5,"P/2")</f>
        <v>1</v>
      </c>
      <c r="AJ5" s="14"/>
      <c r="AK5" s="137">
        <f>COUNTIF(C7:AG7,"BAAS")</f>
        <v>0</v>
      </c>
      <c r="AL5" s="137">
        <f>COUNTIF(D7:AH7,"RCML")</f>
        <v>0</v>
      </c>
      <c r="AM5" s="137">
        <f>COUNTIF(E7:AJ7,"PRE")</f>
        <v>0</v>
      </c>
      <c r="AN5" s="138">
        <f>COUNTIF(F7:AK7,"BAKR")</f>
        <v>0</v>
      </c>
      <c r="AO5" s="129">
        <v>800</v>
      </c>
      <c r="AP5" s="129">
        <f>AO5*AI5/2</f>
        <v>400</v>
      </c>
      <c r="AQ5" s="129">
        <f>AH5*AO5+AP5</f>
        <v>22000</v>
      </c>
      <c r="AR5" s="129">
        <f>AJ6/8*AO5</f>
        <v>6600</v>
      </c>
      <c r="AS5" s="130">
        <f>AQ5+AR5</f>
        <v>28600</v>
      </c>
    </row>
    <row r="6" spans="1:45" x14ac:dyDescent="0.25">
      <c r="A6" s="132"/>
      <c r="B6" s="124"/>
      <c r="C6" s="13"/>
      <c r="D6" s="13">
        <v>1</v>
      </c>
      <c r="E6" s="13">
        <v>3</v>
      </c>
      <c r="F6" s="13"/>
      <c r="G6" s="13">
        <v>3</v>
      </c>
      <c r="H6" s="13">
        <v>2</v>
      </c>
      <c r="I6" s="13">
        <v>2</v>
      </c>
      <c r="J6" s="13">
        <v>3</v>
      </c>
      <c r="K6" s="13">
        <v>4</v>
      </c>
      <c r="L6" s="13">
        <v>3</v>
      </c>
      <c r="M6" s="13"/>
      <c r="N6" s="13"/>
      <c r="O6" s="13">
        <v>4</v>
      </c>
      <c r="P6" s="13">
        <v>4</v>
      </c>
      <c r="Q6" s="13"/>
      <c r="R6" s="13"/>
      <c r="S6" s="13"/>
      <c r="T6" s="13"/>
      <c r="U6" s="13">
        <v>1</v>
      </c>
      <c r="V6" s="13">
        <v>1</v>
      </c>
      <c r="W6" s="13">
        <v>4</v>
      </c>
      <c r="X6" s="13">
        <v>5</v>
      </c>
      <c r="Y6" s="13">
        <v>4</v>
      </c>
      <c r="Z6" s="13">
        <v>4</v>
      </c>
      <c r="AA6" s="13"/>
      <c r="AB6" s="13"/>
      <c r="AC6" s="13">
        <v>3</v>
      </c>
      <c r="AD6" s="13">
        <v>3</v>
      </c>
      <c r="AE6" s="13">
        <v>2</v>
      </c>
      <c r="AF6" s="13">
        <v>5</v>
      </c>
      <c r="AG6" s="13">
        <v>5</v>
      </c>
      <c r="AH6" s="135"/>
      <c r="AI6" s="135"/>
      <c r="AJ6" s="15">
        <f>SUM(C6:AG6)</f>
        <v>66</v>
      </c>
      <c r="AK6" s="137"/>
      <c r="AL6" s="137"/>
      <c r="AM6" s="137"/>
      <c r="AN6" s="138"/>
      <c r="AO6" s="129"/>
      <c r="AP6" s="129"/>
      <c r="AQ6" s="129"/>
      <c r="AR6" s="129"/>
      <c r="AS6" s="130"/>
    </row>
    <row r="7" spans="1:45" x14ac:dyDescent="0.25">
      <c r="A7" s="133"/>
      <c r="B7" s="125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36"/>
      <c r="AI7" s="136"/>
      <c r="AJ7" s="16"/>
      <c r="AK7" s="137"/>
      <c r="AL7" s="137"/>
      <c r="AM7" s="137"/>
      <c r="AN7" s="138"/>
      <c r="AO7" s="129"/>
      <c r="AP7" s="129"/>
      <c r="AQ7" s="129"/>
      <c r="AR7" s="129"/>
      <c r="AS7" s="130"/>
    </row>
    <row r="8" spans="1:45" x14ac:dyDescent="0.25">
      <c r="A8" s="131">
        <v>2</v>
      </c>
      <c r="B8" s="126" t="s">
        <v>62</v>
      </c>
      <c r="C8" s="1" t="s">
        <v>41</v>
      </c>
      <c r="D8" s="1" t="s">
        <v>41</v>
      </c>
      <c r="E8" s="1" t="s">
        <v>41</v>
      </c>
      <c r="F8" s="1" t="s">
        <v>41</v>
      </c>
      <c r="G8" s="1" t="s">
        <v>41</v>
      </c>
      <c r="H8" s="1" t="s">
        <v>41</v>
      </c>
      <c r="I8" s="1" t="s">
        <v>41</v>
      </c>
      <c r="J8" s="1" t="s">
        <v>41</v>
      </c>
      <c r="K8" s="1" t="s">
        <v>41</v>
      </c>
      <c r="L8" s="1" t="s">
        <v>41</v>
      </c>
      <c r="M8" s="1" t="s">
        <v>41</v>
      </c>
      <c r="N8" s="1" t="s">
        <v>41</v>
      </c>
      <c r="O8" s="1" t="s">
        <v>41</v>
      </c>
      <c r="P8" s="1" t="s">
        <v>41</v>
      </c>
      <c r="Q8" s="1" t="s">
        <v>52</v>
      </c>
      <c r="R8" s="1" t="s">
        <v>52</v>
      </c>
      <c r="S8" s="1" t="s">
        <v>41</v>
      </c>
      <c r="T8" s="1" t="s">
        <v>41</v>
      </c>
      <c r="U8" s="1" t="s">
        <v>41</v>
      </c>
      <c r="V8" s="1" t="s">
        <v>41</v>
      </c>
      <c r="W8" s="1" t="s">
        <v>41</v>
      </c>
      <c r="X8" s="1" t="s">
        <v>41</v>
      </c>
      <c r="Y8" s="1" t="s">
        <v>41</v>
      </c>
      <c r="Z8" s="1" t="s">
        <v>41</v>
      </c>
      <c r="AA8" s="1" t="s">
        <v>41</v>
      </c>
      <c r="AB8" s="1" t="s">
        <v>41</v>
      </c>
      <c r="AC8" s="1" t="s">
        <v>41</v>
      </c>
      <c r="AD8" s="1" t="s">
        <v>41</v>
      </c>
      <c r="AE8" s="1" t="s">
        <v>41</v>
      </c>
      <c r="AF8" s="1" t="s">
        <v>41</v>
      </c>
      <c r="AG8" s="1" t="s">
        <v>41</v>
      </c>
      <c r="AH8" s="134">
        <f>COUNTIF(C8:AG8,"P")</f>
        <v>29</v>
      </c>
      <c r="AI8" s="134">
        <f>COUNTIF(D8:AH8,"P/2")</f>
        <v>0</v>
      </c>
      <c r="AJ8" s="14"/>
      <c r="AK8" s="137">
        <f>COUNTIF(C10:AG10,"BAAS")</f>
        <v>0</v>
      </c>
      <c r="AL8" s="137">
        <f>COUNTIF(D10:AH10,"RCML")</f>
        <v>0</v>
      </c>
      <c r="AM8" s="137">
        <f>COUNTIF(E10:AJ10,"PRE")</f>
        <v>0</v>
      </c>
      <c r="AN8" s="138">
        <f>COUNTIF(F10:AK10,"BAKR")</f>
        <v>0</v>
      </c>
      <c r="AO8" s="129">
        <v>700</v>
      </c>
      <c r="AP8" s="129">
        <f>AO8*AI8/2</f>
        <v>0</v>
      </c>
      <c r="AQ8" s="129">
        <f>AH8*AO8+AP8</f>
        <v>20300</v>
      </c>
      <c r="AR8" s="129">
        <f>AJ9/8*AO8</f>
        <v>7350</v>
      </c>
      <c r="AS8" s="130">
        <f>AQ8+AR8</f>
        <v>27650</v>
      </c>
    </row>
    <row r="9" spans="1:45" x14ac:dyDescent="0.25">
      <c r="A9" s="132"/>
      <c r="B9" s="127"/>
      <c r="C9" s="13">
        <v>7</v>
      </c>
      <c r="D9" s="13">
        <v>3</v>
      </c>
      <c r="E9" s="13">
        <v>4</v>
      </c>
      <c r="F9" s="13">
        <v>3</v>
      </c>
      <c r="G9" s="13">
        <v>4</v>
      </c>
      <c r="H9" s="13">
        <v>1</v>
      </c>
      <c r="I9" s="13">
        <v>4</v>
      </c>
      <c r="J9" s="13">
        <v>4</v>
      </c>
      <c r="K9" s="13">
        <v>4</v>
      </c>
      <c r="L9" s="13">
        <v>3</v>
      </c>
      <c r="M9" s="13"/>
      <c r="N9" s="13"/>
      <c r="O9" s="13">
        <v>4</v>
      </c>
      <c r="P9" s="13">
        <v>4</v>
      </c>
      <c r="Q9" s="13"/>
      <c r="R9" s="13"/>
      <c r="S9" s="13">
        <v>3</v>
      </c>
      <c r="T9" s="13"/>
      <c r="U9" s="13">
        <v>2</v>
      </c>
      <c r="V9" s="13"/>
      <c r="W9" s="13">
        <v>3</v>
      </c>
      <c r="X9" s="13">
        <v>6</v>
      </c>
      <c r="Y9" s="13">
        <v>5</v>
      </c>
      <c r="Z9" s="13">
        <v>3</v>
      </c>
      <c r="AA9" s="13"/>
      <c r="AB9" s="13">
        <v>1</v>
      </c>
      <c r="AC9" s="13">
        <v>3</v>
      </c>
      <c r="AD9" s="13">
        <v>3</v>
      </c>
      <c r="AE9" s="13">
        <v>2</v>
      </c>
      <c r="AF9" s="13">
        <v>5</v>
      </c>
      <c r="AG9" s="13">
        <v>3</v>
      </c>
      <c r="AH9" s="135"/>
      <c r="AI9" s="135"/>
      <c r="AJ9" s="15">
        <f>SUM(C9:AG9)</f>
        <v>84</v>
      </c>
      <c r="AK9" s="137"/>
      <c r="AL9" s="137"/>
      <c r="AM9" s="137"/>
      <c r="AN9" s="138"/>
      <c r="AO9" s="129"/>
      <c r="AP9" s="129"/>
      <c r="AQ9" s="129"/>
      <c r="AR9" s="129"/>
      <c r="AS9" s="130"/>
    </row>
    <row r="10" spans="1:45" x14ac:dyDescent="0.25">
      <c r="A10" s="133"/>
      <c r="B10" s="128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36"/>
      <c r="AI10" s="136"/>
      <c r="AJ10" s="16"/>
      <c r="AK10" s="137"/>
      <c r="AL10" s="137"/>
      <c r="AM10" s="137"/>
      <c r="AN10" s="138"/>
      <c r="AO10" s="129"/>
      <c r="AP10" s="129"/>
      <c r="AQ10" s="129"/>
      <c r="AR10" s="129"/>
      <c r="AS10" s="130"/>
    </row>
    <row r="11" spans="1:45" x14ac:dyDescent="0.25">
      <c r="A11" s="131">
        <v>3</v>
      </c>
      <c r="B11" s="126" t="s">
        <v>63</v>
      </c>
      <c r="C11" s="1" t="s">
        <v>41</v>
      </c>
      <c r="D11" s="1" t="s">
        <v>41</v>
      </c>
      <c r="E11" s="1" t="s">
        <v>41</v>
      </c>
      <c r="F11" s="1" t="s">
        <v>41</v>
      </c>
      <c r="G11" s="1" t="s">
        <v>41</v>
      </c>
      <c r="H11" s="1" t="s">
        <v>41</v>
      </c>
      <c r="I11" s="1" t="s">
        <v>41</v>
      </c>
      <c r="J11" s="1" t="s">
        <v>41</v>
      </c>
      <c r="K11" s="1" t="s">
        <v>41</v>
      </c>
      <c r="L11" s="1" t="s">
        <v>41</v>
      </c>
      <c r="M11" s="1" t="s">
        <v>41</v>
      </c>
      <c r="N11" s="1" t="s">
        <v>41</v>
      </c>
      <c r="O11" s="1" t="s">
        <v>41</v>
      </c>
      <c r="P11" s="1" t="s">
        <v>41</v>
      </c>
      <c r="Q11" s="1" t="s">
        <v>52</v>
      </c>
      <c r="R11" s="1" t="s">
        <v>52</v>
      </c>
      <c r="S11" s="1" t="s">
        <v>41</v>
      </c>
      <c r="T11" s="1" t="s">
        <v>41</v>
      </c>
      <c r="U11" s="1" t="s">
        <v>41</v>
      </c>
      <c r="V11" s="1" t="s">
        <v>41</v>
      </c>
      <c r="W11" s="1" t="s">
        <v>41</v>
      </c>
      <c r="X11" s="1" t="s">
        <v>41</v>
      </c>
      <c r="Y11" s="1" t="s">
        <v>41</v>
      </c>
      <c r="Z11" s="1" t="s">
        <v>41</v>
      </c>
      <c r="AA11" s="1" t="s">
        <v>41</v>
      </c>
      <c r="AB11" s="1" t="s">
        <v>41</v>
      </c>
      <c r="AC11" s="1" t="s">
        <v>52</v>
      </c>
      <c r="AD11" s="1" t="s">
        <v>52</v>
      </c>
      <c r="AE11" s="1" t="s">
        <v>52</v>
      </c>
      <c r="AF11" s="1" t="s">
        <v>52</v>
      </c>
      <c r="AG11" s="1" t="s">
        <v>52</v>
      </c>
      <c r="AH11" s="134">
        <f>COUNTIF(C11:AG11,"P")</f>
        <v>24</v>
      </c>
      <c r="AI11" s="134">
        <f>COUNTIF(D11:AH11,"P/2")</f>
        <v>0</v>
      </c>
      <c r="AJ11" s="14"/>
      <c r="AK11" s="137">
        <f>COUNTIF(C13:AG13,"BAAS")</f>
        <v>0</v>
      </c>
      <c r="AL11" s="137">
        <f>COUNTIF(D13:AH13,"RCML")</f>
        <v>0</v>
      </c>
      <c r="AM11" s="137">
        <f>COUNTIF(E13:AJ13,"PRE")</f>
        <v>0</v>
      </c>
      <c r="AN11" s="138">
        <f>COUNTIF(F13:AK13,"BAKR")</f>
        <v>0</v>
      </c>
      <c r="AO11" s="129">
        <v>700</v>
      </c>
      <c r="AP11" s="129">
        <f>AO11*AI11/2</f>
        <v>0</v>
      </c>
      <c r="AQ11" s="129">
        <f>AH11*AO11+AP11</f>
        <v>16800</v>
      </c>
      <c r="AR11" s="129">
        <f>AJ12/8*AO11</f>
        <v>4462.5</v>
      </c>
      <c r="AS11" s="130">
        <f>AQ11+AR11</f>
        <v>21262.5</v>
      </c>
    </row>
    <row r="12" spans="1:45" x14ac:dyDescent="0.25">
      <c r="A12" s="132"/>
      <c r="B12" s="127"/>
      <c r="C12" s="13">
        <v>6</v>
      </c>
      <c r="D12" s="13">
        <v>1</v>
      </c>
      <c r="E12" s="13">
        <v>4</v>
      </c>
      <c r="F12" s="13"/>
      <c r="G12" s="13">
        <v>3</v>
      </c>
      <c r="H12" s="13">
        <v>3</v>
      </c>
      <c r="I12" s="13">
        <v>2</v>
      </c>
      <c r="J12" s="13">
        <v>3</v>
      </c>
      <c r="K12" s="13">
        <v>4</v>
      </c>
      <c r="L12" s="13">
        <v>3</v>
      </c>
      <c r="M12" s="13">
        <v>2</v>
      </c>
      <c r="N12" s="13"/>
      <c r="O12" s="13"/>
      <c r="P12" s="13">
        <v>4</v>
      </c>
      <c r="Q12" s="13"/>
      <c r="R12" s="13"/>
      <c r="S12" s="13">
        <v>3</v>
      </c>
      <c r="T12" s="13"/>
      <c r="U12" s="13">
        <v>2</v>
      </c>
      <c r="V12" s="13">
        <v>1</v>
      </c>
      <c r="W12" s="13">
        <v>4</v>
      </c>
      <c r="X12" s="13"/>
      <c r="Y12" s="13">
        <v>2</v>
      </c>
      <c r="Z12" s="13">
        <v>4</v>
      </c>
      <c r="AA12" s="13"/>
      <c r="AB12" s="13"/>
      <c r="AC12" s="13"/>
      <c r="AD12" s="13"/>
      <c r="AE12" s="13"/>
      <c r="AF12" s="13"/>
      <c r="AG12" s="13"/>
      <c r="AH12" s="135"/>
      <c r="AI12" s="135"/>
      <c r="AJ12" s="15">
        <f>SUM(C12:AG12)</f>
        <v>51</v>
      </c>
      <c r="AK12" s="137"/>
      <c r="AL12" s="137"/>
      <c r="AM12" s="137"/>
      <c r="AN12" s="138"/>
      <c r="AO12" s="129"/>
      <c r="AP12" s="129"/>
      <c r="AQ12" s="129"/>
      <c r="AR12" s="129"/>
      <c r="AS12" s="130"/>
    </row>
    <row r="13" spans="1:45" x14ac:dyDescent="0.25">
      <c r="A13" s="133"/>
      <c r="B13" s="128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36"/>
      <c r="AI13" s="136"/>
      <c r="AJ13" s="16"/>
      <c r="AK13" s="137"/>
      <c r="AL13" s="137"/>
      <c r="AM13" s="137"/>
      <c r="AN13" s="138"/>
      <c r="AO13" s="129"/>
      <c r="AP13" s="129"/>
      <c r="AQ13" s="129"/>
      <c r="AR13" s="129"/>
      <c r="AS13" s="130"/>
    </row>
    <row r="14" spans="1:45" x14ac:dyDescent="0.25">
      <c r="A14" s="131">
        <v>4</v>
      </c>
      <c r="B14" s="126" t="s">
        <v>67</v>
      </c>
      <c r="C14" s="1" t="s">
        <v>41</v>
      </c>
      <c r="D14" s="1" t="s">
        <v>41</v>
      </c>
      <c r="E14" s="1" t="s">
        <v>41</v>
      </c>
      <c r="F14" s="1" t="s">
        <v>41</v>
      </c>
      <c r="G14" s="1" t="s">
        <v>41</v>
      </c>
      <c r="H14" s="1" t="s">
        <v>41</v>
      </c>
      <c r="I14" s="1" t="s">
        <v>41</v>
      </c>
      <c r="J14" s="1" t="s">
        <v>41</v>
      </c>
      <c r="K14" s="1" t="s">
        <v>41</v>
      </c>
      <c r="L14" s="1" t="s">
        <v>41</v>
      </c>
      <c r="M14" s="1" t="s">
        <v>41</v>
      </c>
      <c r="N14" s="1" t="s">
        <v>41</v>
      </c>
      <c r="O14" s="1" t="s">
        <v>41</v>
      </c>
      <c r="P14" s="1" t="s">
        <v>41</v>
      </c>
      <c r="Q14" s="1" t="s">
        <v>52</v>
      </c>
      <c r="R14" s="1" t="s">
        <v>52</v>
      </c>
      <c r="S14" s="1" t="s">
        <v>41</v>
      </c>
      <c r="T14" s="1" t="s">
        <v>41</v>
      </c>
      <c r="U14" s="1" t="s">
        <v>41</v>
      </c>
      <c r="V14" s="1" t="s">
        <v>41</v>
      </c>
      <c r="W14" s="1" t="s">
        <v>41</v>
      </c>
      <c r="X14" s="1" t="s">
        <v>41</v>
      </c>
      <c r="Y14" s="1" t="s">
        <v>41</v>
      </c>
      <c r="Z14" s="1" t="s">
        <v>41</v>
      </c>
      <c r="AA14" s="1" t="s">
        <v>41</v>
      </c>
      <c r="AB14" s="1" t="s">
        <v>41</v>
      </c>
      <c r="AC14" s="1" t="s">
        <v>41</v>
      </c>
      <c r="AD14" s="1" t="s">
        <v>41</v>
      </c>
      <c r="AE14" s="1" t="s">
        <v>41</v>
      </c>
      <c r="AF14" s="1" t="s">
        <v>41</v>
      </c>
      <c r="AG14" s="1" t="s">
        <v>41</v>
      </c>
      <c r="AH14" s="134">
        <f>COUNTIF(C14:AG14,"P")</f>
        <v>29</v>
      </c>
      <c r="AI14" s="134">
        <f>COUNTIF(D14:AH14,"P/2")</f>
        <v>0</v>
      </c>
      <c r="AJ14" s="14"/>
      <c r="AK14" s="137">
        <f>COUNTIF(C16:AG16,"BAAS")</f>
        <v>0</v>
      </c>
      <c r="AL14" s="137">
        <f>COUNTIF(D16:AH16,"RCML")</f>
        <v>0</v>
      </c>
      <c r="AM14" s="137">
        <f>COUNTIF(E16:AJ16,"PRE")</f>
        <v>0</v>
      </c>
      <c r="AN14" s="138">
        <f>COUNTIF(F16:AK16,"BAKR")</f>
        <v>0</v>
      </c>
      <c r="AO14" s="129">
        <v>700</v>
      </c>
      <c r="AP14" s="129">
        <f>AO14*AI14/2</f>
        <v>0</v>
      </c>
      <c r="AQ14" s="129">
        <f>AH14*AO14+AP14</f>
        <v>20300</v>
      </c>
      <c r="AR14" s="129">
        <f>AJ15/8*AO14</f>
        <v>7350</v>
      </c>
      <c r="AS14" s="130">
        <f>AQ14+AR14</f>
        <v>27650</v>
      </c>
    </row>
    <row r="15" spans="1:45" x14ac:dyDescent="0.25">
      <c r="A15" s="132"/>
      <c r="B15" s="127"/>
      <c r="C15" s="9">
        <v>4</v>
      </c>
      <c r="D15" s="9">
        <v>1</v>
      </c>
      <c r="E15" s="9">
        <v>3</v>
      </c>
      <c r="F15" s="9">
        <v>3</v>
      </c>
      <c r="G15" s="9">
        <v>3</v>
      </c>
      <c r="H15" s="9">
        <v>2</v>
      </c>
      <c r="I15" s="9">
        <v>2</v>
      </c>
      <c r="J15" s="9">
        <v>3</v>
      </c>
      <c r="K15" s="9">
        <v>4</v>
      </c>
      <c r="L15" s="9">
        <v>3</v>
      </c>
      <c r="M15" s="9">
        <v>2</v>
      </c>
      <c r="N15" s="9"/>
      <c r="O15" s="9">
        <v>4</v>
      </c>
      <c r="P15" s="9">
        <v>4</v>
      </c>
      <c r="Q15" s="9"/>
      <c r="R15" s="9"/>
      <c r="S15" s="9">
        <v>4</v>
      </c>
      <c r="T15" s="9"/>
      <c r="U15" s="9">
        <v>2</v>
      </c>
      <c r="V15" s="9">
        <v>3</v>
      </c>
      <c r="W15" s="9">
        <v>4</v>
      </c>
      <c r="X15" s="9">
        <v>5</v>
      </c>
      <c r="Y15" s="9">
        <v>2</v>
      </c>
      <c r="Z15" s="9">
        <v>4</v>
      </c>
      <c r="AA15" s="9"/>
      <c r="AB15" s="9">
        <v>1</v>
      </c>
      <c r="AC15" s="9">
        <v>4</v>
      </c>
      <c r="AD15" s="9">
        <v>4</v>
      </c>
      <c r="AE15" s="9">
        <v>6</v>
      </c>
      <c r="AF15" s="9">
        <v>4</v>
      </c>
      <c r="AG15" s="9">
        <v>3</v>
      </c>
      <c r="AH15" s="135"/>
      <c r="AI15" s="135"/>
      <c r="AJ15" s="15">
        <f>SUM(C15:AG15)</f>
        <v>84</v>
      </c>
      <c r="AK15" s="137"/>
      <c r="AL15" s="137"/>
      <c r="AM15" s="137"/>
      <c r="AN15" s="138"/>
      <c r="AO15" s="129"/>
      <c r="AP15" s="129"/>
      <c r="AQ15" s="129"/>
      <c r="AR15" s="129"/>
      <c r="AS15" s="130"/>
    </row>
    <row r="16" spans="1:45" x14ac:dyDescent="0.25">
      <c r="A16" s="133"/>
      <c r="B16" s="128"/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36"/>
      <c r="AI16" s="136"/>
      <c r="AJ16" s="16"/>
      <c r="AK16" s="137"/>
      <c r="AL16" s="137"/>
      <c r="AM16" s="137"/>
      <c r="AN16" s="138"/>
      <c r="AO16" s="129"/>
      <c r="AP16" s="129"/>
      <c r="AQ16" s="129"/>
      <c r="AR16" s="129"/>
      <c r="AS16" s="130"/>
    </row>
    <row r="17" spans="1:45" x14ac:dyDescent="0.25">
      <c r="A17" s="131">
        <v>5</v>
      </c>
      <c r="B17" s="123" t="s">
        <v>66</v>
      </c>
      <c r="C17" s="1" t="s">
        <v>41</v>
      </c>
      <c r="D17" s="1" t="s">
        <v>41</v>
      </c>
      <c r="E17" s="1" t="s">
        <v>41</v>
      </c>
      <c r="F17" s="1" t="s">
        <v>41</v>
      </c>
      <c r="G17" s="1" t="s">
        <v>41</v>
      </c>
      <c r="H17" s="1" t="s">
        <v>52</v>
      </c>
      <c r="I17" s="1" t="s">
        <v>52</v>
      </c>
      <c r="J17" s="1" t="s">
        <v>52</v>
      </c>
      <c r="K17" s="1" t="s">
        <v>52</v>
      </c>
      <c r="L17" s="1" t="s">
        <v>52</v>
      </c>
      <c r="M17" s="1" t="s">
        <v>52</v>
      </c>
      <c r="N17" s="1" t="s">
        <v>52</v>
      </c>
      <c r="O17" s="1" t="s">
        <v>52</v>
      </c>
      <c r="P17" s="1" t="s">
        <v>52</v>
      </c>
      <c r="Q17" s="1" t="s">
        <v>52</v>
      </c>
      <c r="R17" s="1" t="s">
        <v>52</v>
      </c>
      <c r="S17" s="1" t="s">
        <v>52</v>
      </c>
      <c r="T17" s="1" t="s">
        <v>52</v>
      </c>
      <c r="U17" s="1" t="s">
        <v>52</v>
      </c>
      <c r="V17" s="1" t="s">
        <v>52</v>
      </c>
      <c r="W17" s="1" t="s">
        <v>52</v>
      </c>
      <c r="X17" s="1" t="s">
        <v>52</v>
      </c>
      <c r="Y17" s="1" t="s">
        <v>52</v>
      </c>
      <c r="Z17" s="1" t="s">
        <v>52</v>
      </c>
      <c r="AA17" s="1" t="s">
        <v>52</v>
      </c>
      <c r="AB17" s="1" t="s">
        <v>52</v>
      </c>
      <c r="AC17" s="1" t="s">
        <v>52</v>
      </c>
      <c r="AD17" s="1" t="s">
        <v>52</v>
      </c>
      <c r="AE17" s="1" t="s">
        <v>52</v>
      </c>
      <c r="AF17" s="1" t="s">
        <v>52</v>
      </c>
      <c r="AG17" s="1" t="s">
        <v>52</v>
      </c>
      <c r="AH17" s="134">
        <f>COUNTIF(C17:AG17,"P")</f>
        <v>5</v>
      </c>
      <c r="AI17" s="134">
        <f>COUNTIF(D17:AH17,"P/2")</f>
        <v>0</v>
      </c>
      <c r="AJ17" s="14"/>
      <c r="AK17" s="137">
        <f>COUNTIF(C19:AG19,"BAAS")</f>
        <v>0</v>
      </c>
      <c r="AL17" s="137">
        <f>COUNTIF(D19:AH19,"RCML")</f>
        <v>0</v>
      </c>
      <c r="AM17" s="137">
        <f>COUNTIF(E19:AJ19,"PRE")</f>
        <v>0</v>
      </c>
      <c r="AN17" s="138">
        <f>COUNTIF(F19:AK19,"BAKR")</f>
        <v>0</v>
      </c>
      <c r="AO17" s="129">
        <v>700</v>
      </c>
      <c r="AP17" s="129">
        <f>AO17*AI17/2</f>
        <v>0</v>
      </c>
      <c r="AQ17" s="129">
        <f>AH17*AO17+AP17</f>
        <v>3500</v>
      </c>
      <c r="AR17" s="129">
        <f>AJ18/8*AO17</f>
        <v>2187.5</v>
      </c>
      <c r="AS17" s="130">
        <f>AQ17+AR17</f>
        <v>5687.5</v>
      </c>
    </row>
    <row r="18" spans="1:45" x14ac:dyDescent="0.25">
      <c r="A18" s="132"/>
      <c r="B18" s="124"/>
      <c r="C18" s="9">
        <v>7</v>
      </c>
      <c r="D18" s="9">
        <v>2</v>
      </c>
      <c r="E18" s="9">
        <v>5</v>
      </c>
      <c r="F18" s="9">
        <v>7</v>
      </c>
      <c r="G18" s="9">
        <v>4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135"/>
      <c r="AI18" s="135"/>
      <c r="AJ18" s="15">
        <f>SUM(C18:AG18)</f>
        <v>25</v>
      </c>
      <c r="AK18" s="137"/>
      <c r="AL18" s="137"/>
      <c r="AM18" s="137"/>
      <c r="AN18" s="138"/>
      <c r="AO18" s="129"/>
      <c r="AP18" s="129"/>
      <c r="AQ18" s="129"/>
      <c r="AR18" s="129"/>
      <c r="AS18" s="130"/>
    </row>
    <row r="19" spans="1:45" x14ac:dyDescent="0.25">
      <c r="A19" s="133"/>
      <c r="B19" s="125"/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36"/>
      <c r="AI19" s="136"/>
      <c r="AJ19" s="16"/>
      <c r="AK19" s="137"/>
      <c r="AL19" s="137"/>
      <c r="AM19" s="137"/>
      <c r="AN19" s="138"/>
      <c r="AO19" s="129"/>
      <c r="AP19" s="129"/>
      <c r="AQ19" s="129"/>
      <c r="AR19" s="129"/>
      <c r="AS19" s="130"/>
    </row>
    <row r="20" spans="1:45" x14ac:dyDescent="0.25">
      <c r="A20" s="131">
        <v>6</v>
      </c>
      <c r="B20" s="126" t="s">
        <v>65</v>
      </c>
      <c r="C20" s="1" t="s">
        <v>41</v>
      </c>
      <c r="D20" s="1" t="s">
        <v>41</v>
      </c>
      <c r="E20" s="1" t="s">
        <v>41</v>
      </c>
      <c r="F20" s="1" t="s">
        <v>41</v>
      </c>
      <c r="G20" s="1" t="s">
        <v>41</v>
      </c>
      <c r="H20" s="1" t="s">
        <v>41</v>
      </c>
      <c r="I20" s="1" t="s">
        <v>41</v>
      </c>
      <c r="J20" s="1" t="s">
        <v>41</v>
      </c>
      <c r="K20" s="1" t="s">
        <v>41</v>
      </c>
      <c r="L20" s="1" t="s">
        <v>41</v>
      </c>
      <c r="M20" s="1" t="s">
        <v>41</v>
      </c>
      <c r="N20" s="1" t="s">
        <v>41</v>
      </c>
      <c r="O20" s="1" t="s">
        <v>41</v>
      </c>
      <c r="P20" s="1" t="s">
        <v>41</v>
      </c>
      <c r="Q20" s="1" t="s">
        <v>52</v>
      </c>
      <c r="R20" s="1" t="s">
        <v>52</v>
      </c>
      <c r="S20" s="1" t="s">
        <v>41</v>
      </c>
      <c r="T20" s="1" t="s">
        <v>41</v>
      </c>
      <c r="U20" s="1" t="s">
        <v>41</v>
      </c>
      <c r="V20" s="1" t="s">
        <v>52</v>
      </c>
      <c r="W20" s="1" t="s">
        <v>52</v>
      </c>
      <c r="X20" s="1" t="s">
        <v>41</v>
      </c>
      <c r="Y20" s="1" t="s">
        <v>41</v>
      </c>
      <c r="Z20" s="1" t="s">
        <v>41</v>
      </c>
      <c r="AA20" s="1" t="s">
        <v>41</v>
      </c>
      <c r="AB20" s="1" t="s">
        <v>41</v>
      </c>
      <c r="AC20" s="1" t="s">
        <v>41</v>
      </c>
      <c r="AD20" s="1" t="s">
        <v>41</v>
      </c>
      <c r="AE20" s="1" t="s">
        <v>41</v>
      </c>
      <c r="AF20" s="1" t="s">
        <v>41</v>
      </c>
      <c r="AG20" s="1" t="s">
        <v>41</v>
      </c>
      <c r="AH20" s="134">
        <f>COUNTIF(C20:AG20,"P")</f>
        <v>27</v>
      </c>
      <c r="AI20" s="134">
        <f>COUNTIF(D20:AH20,"P/2")</f>
        <v>0</v>
      </c>
      <c r="AJ20" s="14"/>
      <c r="AK20" s="137">
        <f>COUNTIF(C22:AG22,"BAAS")</f>
        <v>0</v>
      </c>
      <c r="AL20" s="137">
        <f>COUNTIF(D22:AH22,"RCML")</f>
        <v>0</v>
      </c>
      <c r="AM20" s="137">
        <f>COUNTIF(E22:AJ22,"PRE")</f>
        <v>0</v>
      </c>
      <c r="AN20" s="138">
        <f>COUNTIF(F22:AK22,"BAKR")</f>
        <v>0</v>
      </c>
      <c r="AO20" s="129">
        <v>700</v>
      </c>
      <c r="AP20" s="129">
        <f>AO20*AI20/2</f>
        <v>0</v>
      </c>
      <c r="AQ20" s="129">
        <f>AH20*AO20+AP20</f>
        <v>18900</v>
      </c>
      <c r="AR20" s="129">
        <f>AJ21/8*AO20</f>
        <v>4812.5</v>
      </c>
      <c r="AS20" s="130">
        <f>AQ20+AR20</f>
        <v>23712.5</v>
      </c>
    </row>
    <row r="21" spans="1:45" x14ac:dyDescent="0.25">
      <c r="A21" s="132"/>
      <c r="B21" s="127"/>
      <c r="C21" s="9">
        <v>4</v>
      </c>
      <c r="D21" s="9">
        <v>1</v>
      </c>
      <c r="E21" s="9">
        <v>3</v>
      </c>
      <c r="F21" s="9"/>
      <c r="G21" s="9">
        <v>3</v>
      </c>
      <c r="H21" s="9">
        <v>1</v>
      </c>
      <c r="I21" s="9"/>
      <c r="J21" s="9">
        <v>3</v>
      </c>
      <c r="K21" s="9">
        <v>4</v>
      </c>
      <c r="L21" s="9">
        <v>1</v>
      </c>
      <c r="M21" s="9">
        <v>2</v>
      </c>
      <c r="N21" s="9"/>
      <c r="O21" s="9">
        <v>4</v>
      </c>
      <c r="P21" s="9">
        <v>4</v>
      </c>
      <c r="Q21" s="9"/>
      <c r="R21" s="9"/>
      <c r="S21" s="9">
        <v>3</v>
      </c>
      <c r="T21" s="9"/>
      <c r="U21" s="9">
        <v>2</v>
      </c>
      <c r="V21" s="9"/>
      <c r="W21" s="9"/>
      <c r="X21" s="9"/>
      <c r="Y21" s="9"/>
      <c r="Z21" s="9">
        <v>4</v>
      </c>
      <c r="AA21" s="9"/>
      <c r="AB21" s="9"/>
      <c r="AC21" s="9">
        <v>3</v>
      </c>
      <c r="AD21" s="9">
        <v>3</v>
      </c>
      <c r="AE21" s="9">
        <v>2</v>
      </c>
      <c r="AF21" s="9">
        <v>4</v>
      </c>
      <c r="AG21" s="9">
        <v>4</v>
      </c>
      <c r="AH21" s="135"/>
      <c r="AI21" s="135"/>
      <c r="AJ21" s="15">
        <f>SUM(C21:AG21)</f>
        <v>55</v>
      </c>
      <c r="AK21" s="137"/>
      <c r="AL21" s="137"/>
      <c r="AM21" s="137"/>
      <c r="AN21" s="138"/>
      <c r="AO21" s="129"/>
      <c r="AP21" s="129"/>
      <c r="AQ21" s="129"/>
      <c r="AR21" s="129"/>
      <c r="AS21" s="130"/>
    </row>
    <row r="22" spans="1:45" x14ac:dyDescent="0.25">
      <c r="A22" s="133"/>
      <c r="B22" s="128"/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36"/>
      <c r="AI22" s="136"/>
      <c r="AJ22" s="16"/>
      <c r="AK22" s="137"/>
      <c r="AL22" s="137"/>
      <c r="AM22" s="137"/>
      <c r="AN22" s="138"/>
      <c r="AO22" s="129"/>
      <c r="AP22" s="129"/>
      <c r="AQ22" s="129"/>
      <c r="AR22" s="129"/>
      <c r="AS22" s="130"/>
    </row>
    <row r="23" spans="1:45" x14ac:dyDescent="0.25">
      <c r="A23" s="131">
        <v>7</v>
      </c>
      <c r="B23" s="126" t="s">
        <v>64</v>
      </c>
      <c r="C23" s="1" t="s">
        <v>41</v>
      </c>
      <c r="D23" s="1" t="s">
        <v>41</v>
      </c>
      <c r="E23" s="1" t="s">
        <v>52</v>
      </c>
      <c r="F23" s="1" t="s">
        <v>41</v>
      </c>
      <c r="G23" s="1" t="s">
        <v>41</v>
      </c>
      <c r="H23" s="1" t="s">
        <v>41</v>
      </c>
      <c r="I23" s="1" t="s">
        <v>41</v>
      </c>
      <c r="J23" s="1" t="s">
        <v>41</v>
      </c>
      <c r="K23" s="1" t="s">
        <v>41</v>
      </c>
      <c r="L23" s="1" t="s">
        <v>41</v>
      </c>
      <c r="M23" s="1" t="s">
        <v>41</v>
      </c>
      <c r="N23" s="1" t="s">
        <v>52</v>
      </c>
      <c r="O23" s="1" t="s">
        <v>41</v>
      </c>
      <c r="P23" s="1" t="s">
        <v>41</v>
      </c>
      <c r="Q23" s="1" t="s">
        <v>52</v>
      </c>
      <c r="R23" s="1" t="s">
        <v>52</v>
      </c>
      <c r="S23" s="1" t="s">
        <v>41</v>
      </c>
      <c r="T23" s="1" t="s">
        <v>41</v>
      </c>
      <c r="U23" s="1" t="s">
        <v>52</v>
      </c>
      <c r="V23" s="1" t="s">
        <v>52</v>
      </c>
      <c r="W23" s="1" t="s">
        <v>52</v>
      </c>
      <c r="X23" s="1" t="s">
        <v>41</v>
      </c>
      <c r="Y23" s="1" t="s">
        <v>41</v>
      </c>
      <c r="Z23" s="1" t="s">
        <v>41</v>
      </c>
      <c r="AA23" s="1" t="s">
        <v>41</v>
      </c>
      <c r="AB23" s="1" t="s">
        <v>41</v>
      </c>
      <c r="AC23" s="1" t="s">
        <v>41</v>
      </c>
      <c r="AD23" s="1" t="s">
        <v>52</v>
      </c>
      <c r="AE23" s="1" t="s">
        <v>41</v>
      </c>
      <c r="AF23" s="1" t="s">
        <v>41</v>
      </c>
      <c r="AG23" s="1" t="s">
        <v>41</v>
      </c>
      <c r="AH23" s="134">
        <f>COUNTIF(C23:AG23,"P")</f>
        <v>23</v>
      </c>
      <c r="AI23" s="134">
        <f>COUNTIF(D23:AH23,"P/2")</f>
        <v>0</v>
      </c>
      <c r="AJ23" s="14"/>
      <c r="AK23" s="137">
        <f>COUNTIF(C25:AG25,"BAAS")</f>
        <v>0</v>
      </c>
      <c r="AL23" s="137">
        <f>COUNTIF(D25:AH25,"RCML")</f>
        <v>0</v>
      </c>
      <c r="AM23" s="137">
        <f>COUNTIF(E25:AJ25,"PRE")</f>
        <v>0</v>
      </c>
      <c r="AN23" s="138">
        <f>COUNTIF(F25:AK25,"BAKR")</f>
        <v>0</v>
      </c>
      <c r="AO23" s="139">
        <v>700</v>
      </c>
      <c r="AP23" s="129">
        <f>AO23*AI23/2</f>
        <v>0</v>
      </c>
      <c r="AQ23" s="129">
        <f>AH23*AO23+AP23</f>
        <v>16100</v>
      </c>
      <c r="AR23" s="129">
        <f>AJ24/8*AO23</f>
        <v>4287.5</v>
      </c>
      <c r="AS23" s="130">
        <f>AQ23+AR23</f>
        <v>20387.5</v>
      </c>
    </row>
    <row r="24" spans="1:45" x14ac:dyDescent="0.25">
      <c r="A24" s="132"/>
      <c r="B24" s="127"/>
      <c r="C24" s="9">
        <v>3</v>
      </c>
      <c r="D24" s="9">
        <v>1</v>
      </c>
      <c r="E24" s="9"/>
      <c r="F24" s="9">
        <v>1</v>
      </c>
      <c r="G24" s="9">
        <v>3</v>
      </c>
      <c r="H24" s="9"/>
      <c r="I24" s="9">
        <v>4</v>
      </c>
      <c r="J24" s="9">
        <v>3</v>
      </c>
      <c r="K24" s="9">
        <v>4</v>
      </c>
      <c r="L24" s="9">
        <v>3</v>
      </c>
      <c r="M24" s="9">
        <v>2</v>
      </c>
      <c r="N24" s="9"/>
      <c r="O24" s="9">
        <v>4</v>
      </c>
      <c r="P24" s="9"/>
      <c r="Q24" s="9"/>
      <c r="R24" s="9"/>
      <c r="S24" s="9">
        <v>2</v>
      </c>
      <c r="T24" s="9"/>
      <c r="U24" s="9"/>
      <c r="V24" s="9"/>
      <c r="W24" s="9"/>
      <c r="X24" s="9">
        <v>4</v>
      </c>
      <c r="Y24" s="9">
        <v>1</v>
      </c>
      <c r="Z24" s="9">
        <v>4</v>
      </c>
      <c r="AA24" s="9"/>
      <c r="AB24" s="9">
        <v>1</v>
      </c>
      <c r="AC24" s="9">
        <v>2</v>
      </c>
      <c r="AD24" s="9"/>
      <c r="AE24" s="9">
        <v>2</v>
      </c>
      <c r="AF24" s="9">
        <v>4</v>
      </c>
      <c r="AG24" s="9">
        <v>1</v>
      </c>
      <c r="AH24" s="135"/>
      <c r="AI24" s="135"/>
      <c r="AJ24" s="15">
        <f>SUM(C24:AG24)</f>
        <v>49</v>
      </c>
      <c r="AK24" s="137"/>
      <c r="AL24" s="137"/>
      <c r="AM24" s="137"/>
      <c r="AN24" s="138"/>
      <c r="AO24" s="140"/>
      <c r="AP24" s="129"/>
      <c r="AQ24" s="129"/>
      <c r="AR24" s="129"/>
      <c r="AS24" s="130"/>
    </row>
    <row r="25" spans="1:45" x14ac:dyDescent="0.25">
      <c r="A25" s="133"/>
      <c r="B25" s="128"/>
      <c r="C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36"/>
      <c r="AI25" s="136"/>
      <c r="AJ25" s="16"/>
      <c r="AK25" s="137"/>
      <c r="AL25" s="137"/>
      <c r="AM25" s="137"/>
      <c r="AN25" s="138"/>
      <c r="AO25" s="141"/>
      <c r="AP25" s="129"/>
      <c r="AQ25" s="129"/>
      <c r="AR25" s="129"/>
      <c r="AS25" s="130"/>
    </row>
    <row r="26" spans="1:45" x14ac:dyDescent="0.25">
      <c r="A26" s="131">
        <v>8</v>
      </c>
      <c r="B26" s="123" t="s">
        <v>68</v>
      </c>
      <c r="C26" s="1" t="s">
        <v>41</v>
      </c>
      <c r="D26" s="1" t="s">
        <v>52</v>
      </c>
      <c r="E26" s="1" t="s">
        <v>52</v>
      </c>
      <c r="F26" s="1" t="s">
        <v>41</v>
      </c>
      <c r="G26" s="1" t="s">
        <v>41</v>
      </c>
      <c r="H26" s="1" t="s">
        <v>41</v>
      </c>
      <c r="I26" s="1" t="s">
        <v>41</v>
      </c>
      <c r="J26" s="1" t="s">
        <v>41</v>
      </c>
      <c r="K26" s="1" t="s">
        <v>41</v>
      </c>
      <c r="L26" s="1" t="s">
        <v>41</v>
      </c>
      <c r="M26" s="1" t="s">
        <v>41</v>
      </c>
      <c r="N26" s="1" t="s">
        <v>52</v>
      </c>
      <c r="O26" s="1" t="s">
        <v>41</v>
      </c>
      <c r="P26" s="1" t="s">
        <v>41</v>
      </c>
      <c r="Q26" s="1" t="s">
        <v>52</v>
      </c>
      <c r="R26" s="1" t="s">
        <v>52</v>
      </c>
      <c r="S26" s="1" t="s">
        <v>41</v>
      </c>
      <c r="T26" s="1" t="s">
        <v>41</v>
      </c>
      <c r="U26" s="1" t="s">
        <v>41</v>
      </c>
      <c r="V26" s="1" t="s">
        <v>41</v>
      </c>
      <c r="W26" s="1" t="s">
        <v>41</v>
      </c>
      <c r="X26" s="1" t="s">
        <v>41</v>
      </c>
      <c r="Y26" s="1" t="s">
        <v>41</v>
      </c>
      <c r="Z26" s="1" t="s">
        <v>41</v>
      </c>
      <c r="AA26" s="1" t="s">
        <v>41</v>
      </c>
      <c r="AB26" s="1" t="s">
        <v>41</v>
      </c>
      <c r="AC26" s="1" t="s">
        <v>41</v>
      </c>
      <c r="AD26" s="1" t="s">
        <v>41</v>
      </c>
      <c r="AE26" s="1" t="s">
        <v>41</v>
      </c>
      <c r="AF26" s="1" t="s">
        <v>41</v>
      </c>
      <c r="AG26" s="1" t="s">
        <v>41</v>
      </c>
      <c r="AH26" s="134">
        <f>COUNTIF(C26:AG26,"P")</f>
        <v>26</v>
      </c>
      <c r="AI26" s="134">
        <f>COUNTIF(D26:AH26,"P/2")</f>
        <v>0</v>
      </c>
      <c r="AJ26" s="15"/>
      <c r="AK26" s="137">
        <f>COUNTIF(C28:AG28,"BAAS")</f>
        <v>0</v>
      </c>
      <c r="AL26" s="137">
        <f>COUNTIF(D28:AH28,"RCML")</f>
        <v>0</v>
      </c>
      <c r="AM26" s="137">
        <f>COUNTIF(E28:AJ28,"PRE")</f>
        <v>0</v>
      </c>
      <c r="AN26" s="138">
        <f>COUNTIF(F28:AK28,"BAKR")</f>
        <v>0</v>
      </c>
      <c r="AO26" s="139">
        <v>600</v>
      </c>
      <c r="AP26" s="129">
        <f>AO26*AI26/2</f>
        <v>0</v>
      </c>
      <c r="AQ26" s="129">
        <f>AH26*AO26+AP26</f>
        <v>15600</v>
      </c>
      <c r="AR26" s="129">
        <f>AJ27/8*AO26</f>
        <v>6450</v>
      </c>
      <c r="AS26" s="130">
        <f>AQ26+AR26</f>
        <v>22050</v>
      </c>
    </row>
    <row r="27" spans="1:45" x14ac:dyDescent="0.25">
      <c r="A27" s="132"/>
      <c r="B27" s="124"/>
      <c r="C27" s="9">
        <v>4</v>
      </c>
      <c r="D27" s="9"/>
      <c r="E27" s="9"/>
      <c r="F27" s="9">
        <v>6</v>
      </c>
      <c r="G27" s="9">
        <v>3</v>
      </c>
      <c r="H27" s="9">
        <v>1</v>
      </c>
      <c r="I27" s="9">
        <v>2</v>
      </c>
      <c r="J27" s="9">
        <v>3</v>
      </c>
      <c r="K27" s="9">
        <v>4</v>
      </c>
      <c r="L27" s="9">
        <v>3</v>
      </c>
      <c r="M27" s="9">
        <v>2</v>
      </c>
      <c r="N27" s="9"/>
      <c r="O27" s="9">
        <v>4</v>
      </c>
      <c r="P27" s="9">
        <v>4</v>
      </c>
      <c r="Q27" s="9"/>
      <c r="R27" s="9"/>
      <c r="S27" s="9">
        <v>8</v>
      </c>
      <c r="T27" s="9">
        <v>2</v>
      </c>
      <c r="U27" s="9">
        <v>4</v>
      </c>
      <c r="V27" s="9">
        <v>3</v>
      </c>
      <c r="W27" s="9">
        <v>6</v>
      </c>
      <c r="X27" s="9">
        <v>5</v>
      </c>
      <c r="Y27" s="9">
        <v>5</v>
      </c>
      <c r="Z27" s="9">
        <v>4</v>
      </c>
      <c r="AA27" s="9"/>
      <c r="AB27" s="9">
        <v>1</v>
      </c>
      <c r="AC27" s="9">
        <v>2</v>
      </c>
      <c r="AD27" s="9">
        <v>3</v>
      </c>
      <c r="AE27" s="9">
        <v>3</v>
      </c>
      <c r="AF27" s="9">
        <v>2</v>
      </c>
      <c r="AG27" s="9">
        <v>2</v>
      </c>
      <c r="AH27" s="135"/>
      <c r="AI27" s="135"/>
      <c r="AJ27" s="15">
        <f>SUM(C27:AG27)</f>
        <v>86</v>
      </c>
      <c r="AK27" s="137"/>
      <c r="AL27" s="137"/>
      <c r="AM27" s="137"/>
      <c r="AN27" s="138"/>
      <c r="AO27" s="140"/>
      <c r="AP27" s="129"/>
      <c r="AQ27" s="129"/>
      <c r="AR27" s="129"/>
      <c r="AS27" s="130"/>
    </row>
    <row r="28" spans="1:45" x14ac:dyDescent="0.25">
      <c r="A28" s="133"/>
      <c r="B28" s="125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36"/>
      <c r="AI28" s="136"/>
      <c r="AJ28" s="16"/>
      <c r="AK28" s="137"/>
      <c r="AL28" s="137"/>
      <c r="AM28" s="137"/>
      <c r="AN28" s="138"/>
      <c r="AO28" s="141"/>
      <c r="AP28" s="129"/>
      <c r="AQ28" s="129"/>
      <c r="AR28" s="129"/>
      <c r="AS28" s="130"/>
    </row>
    <row r="29" spans="1:45" x14ac:dyDescent="0.25">
      <c r="A29" s="131">
        <v>9</v>
      </c>
      <c r="B29" s="123" t="s">
        <v>69</v>
      </c>
      <c r="C29" s="1" t="s">
        <v>52</v>
      </c>
      <c r="D29" s="1" t="s">
        <v>41</v>
      </c>
      <c r="E29" s="1" t="s">
        <v>41</v>
      </c>
      <c r="F29" s="1" t="s">
        <v>41</v>
      </c>
      <c r="G29" s="1" t="s">
        <v>41</v>
      </c>
      <c r="H29" s="1" t="s">
        <v>41</v>
      </c>
      <c r="I29" s="1" t="s">
        <v>41</v>
      </c>
      <c r="J29" s="1" t="s">
        <v>41</v>
      </c>
      <c r="K29" s="1" t="s">
        <v>41</v>
      </c>
      <c r="L29" s="1" t="s">
        <v>41</v>
      </c>
      <c r="M29" s="1" t="s">
        <v>41</v>
      </c>
      <c r="N29" s="1" t="s">
        <v>41</v>
      </c>
      <c r="O29" s="1" t="s">
        <v>41</v>
      </c>
      <c r="P29" s="1" t="s">
        <v>41</v>
      </c>
      <c r="Q29" s="1" t="s">
        <v>52</v>
      </c>
      <c r="R29" s="1" t="s">
        <v>52</v>
      </c>
      <c r="S29" s="1" t="s">
        <v>41</v>
      </c>
      <c r="T29" s="1" t="s">
        <v>41</v>
      </c>
      <c r="U29" s="1" t="s">
        <v>41</v>
      </c>
      <c r="V29" s="1" t="s">
        <v>41</v>
      </c>
      <c r="W29" s="1" t="s">
        <v>41</v>
      </c>
      <c r="X29" s="1" t="s">
        <v>41</v>
      </c>
      <c r="Y29" s="1" t="s">
        <v>41</v>
      </c>
      <c r="Z29" s="1" t="s">
        <v>41</v>
      </c>
      <c r="AA29" s="1" t="s">
        <v>41</v>
      </c>
      <c r="AB29" s="1" t="s">
        <v>41</v>
      </c>
      <c r="AC29" s="1" t="s">
        <v>41</v>
      </c>
      <c r="AD29" s="1" t="s">
        <v>41</v>
      </c>
      <c r="AE29" s="1" t="s">
        <v>41</v>
      </c>
      <c r="AF29" s="1" t="s">
        <v>41</v>
      </c>
      <c r="AG29" s="1" t="s">
        <v>41</v>
      </c>
      <c r="AH29" s="134">
        <f>COUNTIF(C29:AG29,"P")</f>
        <v>28</v>
      </c>
      <c r="AI29" s="134">
        <f>COUNTIF(D29:AH29,"P/2")</f>
        <v>0</v>
      </c>
      <c r="AJ29" s="15"/>
      <c r="AK29" s="137">
        <f>COUNTIF(C31:AG31,"BAAS")</f>
        <v>0</v>
      </c>
      <c r="AL29" s="137">
        <f>COUNTIF(D31:AH31,"RCML")</f>
        <v>0</v>
      </c>
      <c r="AM29" s="137">
        <f>COUNTIF(E31:AJ31,"PRE")</f>
        <v>0</v>
      </c>
      <c r="AN29" s="138">
        <f>COUNTIF(F31:AK31,"BAKR")</f>
        <v>0</v>
      </c>
      <c r="AO29" s="139">
        <v>700</v>
      </c>
      <c r="AP29" s="129">
        <f>AO29*AI29/2</f>
        <v>0</v>
      </c>
      <c r="AQ29" s="129">
        <f>AH29*AO29+AP29</f>
        <v>19600</v>
      </c>
      <c r="AR29" s="129">
        <f>AJ30/8*AO29</f>
        <v>7350</v>
      </c>
      <c r="AS29" s="130">
        <f>AQ29+AR29</f>
        <v>26950</v>
      </c>
    </row>
    <row r="30" spans="1:45" x14ac:dyDescent="0.25">
      <c r="A30" s="132"/>
      <c r="B30" s="124"/>
      <c r="C30" s="9"/>
      <c r="D30" s="9">
        <v>1</v>
      </c>
      <c r="E30" s="9">
        <v>3</v>
      </c>
      <c r="F30" s="9">
        <v>6</v>
      </c>
      <c r="G30" s="9">
        <v>3</v>
      </c>
      <c r="H30" s="9">
        <v>2</v>
      </c>
      <c r="I30" s="9">
        <v>2</v>
      </c>
      <c r="J30" s="9">
        <v>5</v>
      </c>
      <c r="K30" s="9">
        <v>4</v>
      </c>
      <c r="L30" s="9">
        <v>3</v>
      </c>
      <c r="M30" s="9"/>
      <c r="N30" s="9"/>
      <c r="O30" s="9">
        <v>4</v>
      </c>
      <c r="P30" s="9">
        <v>4</v>
      </c>
      <c r="Q30" s="9"/>
      <c r="R30" s="9"/>
      <c r="S30" s="9">
        <v>3</v>
      </c>
      <c r="T30" s="9"/>
      <c r="U30" s="9">
        <v>4</v>
      </c>
      <c r="V30" s="9">
        <v>3</v>
      </c>
      <c r="W30" s="9">
        <v>6</v>
      </c>
      <c r="X30" s="9">
        <v>5</v>
      </c>
      <c r="Y30" s="9">
        <v>5</v>
      </c>
      <c r="Z30" s="9">
        <v>4</v>
      </c>
      <c r="AA30" s="9"/>
      <c r="AB30" s="9">
        <v>1</v>
      </c>
      <c r="AC30" s="9">
        <v>3</v>
      </c>
      <c r="AD30" s="9">
        <v>3</v>
      </c>
      <c r="AE30" s="9">
        <v>4</v>
      </c>
      <c r="AF30" s="9">
        <v>3</v>
      </c>
      <c r="AG30" s="9">
        <v>3</v>
      </c>
      <c r="AH30" s="135"/>
      <c r="AI30" s="135"/>
      <c r="AJ30" s="15">
        <f>SUM(C30:AG30)</f>
        <v>84</v>
      </c>
      <c r="AK30" s="137"/>
      <c r="AL30" s="137"/>
      <c r="AM30" s="137"/>
      <c r="AN30" s="138"/>
      <c r="AO30" s="140"/>
      <c r="AP30" s="129"/>
      <c r="AQ30" s="129"/>
      <c r="AR30" s="129"/>
      <c r="AS30" s="130"/>
    </row>
    <row r="31" spans="1:45" x14ac:dyDescent="0.25">
      <c r="A31" s="133"/>
      <c r="B31" s="125"/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36"/>
      <c r="AI31" s="136"/>
      <c r="AJ31" s="16"/>
      <c r="AK31" s="137"/>
      <c r="AL31" s="137"/>
      <c r="AM31" s="137"/>
      <c r="AN31" s="138"/>
      <c r="AO31" s="141"/>
      <c r="AP31" s="129"/>
      <c r="AQ31" s="129"/>
      <c r="AR31" s="129"/>
      <c r="AS31" s="130"/>
    </row>
    <row r="32" spans="1:45" x14ac:dyDescent="0.25">
      <c r="A32" s="131">
        <v>10</v>
      </c>
      <c r="B32" s="123" t="s">
        <v>70</v>
      </c>
      <c r="C32" s="1" t="s">
        <v>41</v>
      </c>
      <c r="D32" s="1" t="s">
        <v>41</v>
      </c>
      <c r="E32" s="1" t="s">
        <v>41</v>
      </c>
      <c r="F32" s="1" t="s">
        <v>41</v>
      </c>
      <c r="G32" s="1" t="s">
        <v>41</v>
      </c>
      <c r="H32" s="1" t="s">
        <v>41</v>
      </c>
      <c r="I32" s="1" t="s">
        <v>41</v>
      </c>
      <c r="J32" s="1" t="s">
        <v>41</v>
      </c>
      <c r="K32" s="1" t="s">
        <v>41</v>
      </c>
      <c r="L32" s="1" t="s">
        <v>41</v>
      </c>
      <c r="M32" s="1" t="s">
        <v>41</v>
      </c>
      <c r="N32" s="1" t="s">
        <v>41</v>
      </c>
      <c r="O32" s="1" t="s">
        <v>41</v>
      </c>
      <c r="P32" s="1" t="s">
        <v>41</v>
      </c>
      <c r="Q32" s="1" t="s">
        <v>52</v>
      </c>
      <c r="R32" s="1" t="s">
        <v>52</v>
      </c>
      <c r="S32" s="1" t="s">
        <v>41</v>
      </c>
      <c r="T32" s="1" t="s">
        <v>41</v>
      </c>
      <c r="U32" s="1" t="s">
        <v>41</v>
      </c>
      <c r="V32" s="1" t="s">
        <v>41</v>
      </c>
      <c r="W32" s="1" t="s">
        <v>41</v>
      </c>
      <c r="X32" s="1" t="s">
        <v>41</v>
      </c>
      <c r="Y32" s="1" t="s">
        <v>41</v>
      </c>
      <c r="Z32" s="1" t="s">
        <v>41</v>
      </c>
      <c r="AA32" s="1" t="s">
        <v>41</v>
      </c>
      <c r="AB32" s="1" t="s">
        <v>41</v>
      </c>
      <c r="AC32" s="1" t="s">
        <v>41</v>
      </c>
      <c r="AD32" s="1" t="s">
        <v>41</v>
      </c>
      <c r="AE32" s="1" t="s">
        <v>41</v>
      </c>
      <c r="AF32" s="1" t="s">
        <v>41</v>
      </c>
      <c r="AG32" s="1" t="s">
        <v>41</v>
      </c>
      <c r="AH32" s="134">
        <f>COUNTIF(C32:AG32,"P")</f>
        <v>29</v>
      </c>
      <c r="AI32" s="134">
        <f>COUNTIF(D32:AH32,"P/2")</f>
        <v>0</v>
      </c>
      <c r="AJ32" s="15"/>
      <c r="AK32" s="137">
        <f>COUNTIF(C34:AG34,"BAAS")</f>
        <v>0</v>
      </c>
      <c r="AL32" s="137">
        <f>COUNTIF(D34:AH34,"RCML")</f>
        <v>0</v>
      </c>
      <c r="AM32" s="137">
        <f>COUNTIF(E34:AJ34,"PRE")</f>
        <v>0</v>
      </c>
      <c r="AN32" s="138">
        <f>COUNTIF(F34:AK34,"BAKR")</f>
        <v>0</v>
      </c>
      <c r="AO32" s="139">
        <v>600</v>
      </c>
      <c r="AP32" s="129">
        <f>AO32*AI32/2</f>
        <v>0</v>
      </c>
      <c r="AQ32" s="129">
        <f>AH32*AO32+AP32</f>
        <v>17400</v>
      </c>
      <c r="AR32" s="129">
        <f>AJ33/8*AO32</f>
        <v>8025</v>
      </c>
      <c r="AS32" s="130">
        <f>AQ32+AR32</f>
        <v>25425</v>
      </c>
    </row>
    <row r="33" spans="1:45" x14ac:dyDescent="0.25">
      <c r="A33" s="132"/>
      <c r="B33" s="124"/>
      <c r="C33" s="9">
        <v>7</v>
      </c>
      <c r="D33" s="9">
        <v>2</v>
      </c>
      <c r="E33" s="9">
        <v>3</v>
      </c>
      <c r="F33" s="9">
        <v>6</v>
      </c>
      <c r="G33" s="9">
        <v>2</v>
      </c>
      <c r="H33" s="9">
        <v>1</v>
      </c>
      <c r="I33" s="9">
        <v>4</v>
      </c>
      <c r="J33" s="9">
        <v>7</v>
      </c>
      <c r="K33" s="9">
        <v>4</v>
      </c>
      <c r="L33" s="9">
        <v>1</v>
      </c>
      <c r="M33" s="9"/>
      <c r="N33" s="9"/>
      <c r="O33" s="9">
        <v>4</v>
      </c>
      <c r="P33" s="9">
        <v>4</v>
      </c>
      <c r="Q33" s="9"/>
      <c r="R33" s="9"/>
      <c r="S33" s="9">
        <v>8</v>
      </c>
      <c r="T33" s="9">
        <v>2</v>
      </c>
      <c r="U33" s="9">
        <v>4</v>
      </c>
      <c r="V33" s="9">
        <v>4</v>
      </c>
      <c r="W33" s="9">
        <v>6</v>
      </c>
      <c r="X33" s="9">
        <v>6</v>
      </c>
      <c r="Y33" s="9">
        <v>4</v>
      </c>
      <c r="Z33" s="9">
        <v>4</v>
      </c>
      <c r="AA33" s="9">
        <v>2</v>
      </c>
      <c r="AB33" s="9">
        <v>1</v>
      </c>
      <c r="AC33" s="9">
        <v>3</v>
      </c>
      <c r="AD33" s="9">
        <v>3</v>
      </c>
      <c r="AE33" s="9">
        <v>3</v>
      </c>
      <c r="AF33" s="9">
        <v>7</v>
      </c>
      <c r="AG33" s="9">
        <v>5</v>
      </c>
      <c r="AH33" s="135"/>
      <c r="AI33" s="135"/>
      <c r="AJ33" s="27">
        <f>SUM(C33:AG33)</f>
        <v>107</v>
      </c>
      <c r="AK33" s="137"/>
      <c r="AL33" s="137"/>
      <c r="AM33" s="137"/>
      <c r="AN33" s="138"/>
      <c r="AO33" s="140"/>
      <c r="AP33" s="129"/>
      <c r="AQ33" s="129"/>
      <c r="AR33" s="129"/>
      <c r="AS33" s="130"/>
    </row>
    <row r="34" spans="1:45" x14ac:dyDescent="0.25">
      <c r="A34" s="133"/>
      <c r="B34" s="125"/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36"/>
      <c r="AI34" s="136"/>
      <c r="AJ34" s="16"/>
      <c r="AK34" s="137"/>
      <c r="AL34" s="137"/>
      <c r="AM34" s="137"/>
      <c r="AN34" s="138"/>
      <c r="AO34" s="141"/>
      <c r="AP34" s="129"/>
      <c r="AQ34" s="129"/>
      <c r="AR34" s="129"/>
      <c r="AS34" s="130"/>
    </row>
    <row r="35" spans="1:45" x14ac:dyDescent="0.25">
      <c r="A35" s="131">
        <v>11</v>
      </c>
      <c r="B35" s="123" t="s">
        <v>71</v>
      </c>
      <c r="C35" s="1" t="s">
        <v>41</v>
      </c>
      <c r="D35" s="1" t="s">
        <v>41</v>
      </c>
      <c r="E35" s="1" t="s">
        <v>41</v>
      </c>
      <c r="F35" s="1" t="s">
        <v>41</v>
      </c>
      <c r="G35" s="1" t="s">
        <v>56</v>
      </c>
      <c r="H35" s="1" t="s">
        <v>41</v>
      </c>
      <c r="I35" s="1" t="s">
        <v>41</v>
      </c>
      <c r="J35" s="1" t="s">
        <v>41</v>
      </c>
      <c r="K35" s="1" t="s">
        <v>41</v>
      </c>
      <c r="L35" s="1" t="s">
        <v>41</v>
      </c>
      <c r="M35" s="1" t="s">
        <v>41</v>
      </c>
      <c r="N35" s="1" t="s">
        <v>41</v>
      </c>
      <c r="O35" s="1" t="s">
        <v>41</v>
      </c>
      <c r="P35" s="1" t="s">
        <v>41</v>
      </c>
      <c r="Q35" s="1" t="s">
        <v>52</v>
      </c>
      <c r="R35" s="1" t="s">
        <v>52</v>
      </c>
      <c r="S35" s="1" t="s">
        <v>41</v>
      </c>
      <c r="T35" s="1" t="s">
        <v>41</v>
      </c>
      <c r="U35" s="1" t="s">
        <v>41</v>
      </c>
      <c r="V35" s="1" t="s">
        <v>52</v>
      </c>
      <c r="W35" s="1" t="s">
        <v>52</v>
      </c>
      <c r="X35" s="1" t="s">
        <v>52</v>
      </c>
      <c r="Y35" s="1" t="s">
        <v>52</v>
      </c>
      <c r="Z35" s="1" t="s">
        <v>52</v>
      </c>
      <c r="AA35" s="1" t="s">
        <v>52</v>
      </c>
      <c r="AB35" s="1" t="s">
        <v>52</v>
      </c>
      <c r="AC35" s="1" t="s">
        <v>52</v>
      </c>
      <c r="AD35" s="1" t="s">
        <v>52</v>
      </c>
      <c r="AE35" s="1" t="s">
        <v>52</v>
      </c>
      <c r="AF35" s="1" t="s">
        <v>52</v>
      </c>
      <c r="AG35" s="1" t="s">
        <v>52</v>
      </c>
      <c r="AH35" s="134">
        <f>COUNTIF(C35:AG35,"P")</f>
        <v>16</v>
      </c>
      <c r="AI35" s="134">
        <f>COUNTIF(D35:AH35,"P/2")</f>
        <v>1</v>
      </c>
      <c r="AJ35" s="15"/>
      <c r="AK35" s="137">
        <f>COUNTIF(C37:AG37,"BAAS")</f>
        <v>0</v>
      </c>
      <c r="AL35" s="137">
        <f>COUNTIF(D37:AH37,"RCML")</f>
        <v>0</v>
      </c>
      <c r="AM35" s="137">
        <f>COUNTIF(E37:AJ37,"PRE")</f>
        <v>0</v>
      </c>
      <c r="AN35" s="138">
        <f>COUNTIF(F37:AK37,"BAKR")</f>
        <v>0</v>
      </c>
      <c r="AO35" s="139">
        <v>700</v>
      </c>
      <c r="AP35" s="129">
        <f>AO35*AI35/2</f>
        <v>350</v>
      </c>
      <c r="AQ35" s="161">
        <f>AH35*AO35+AP35</f>
        <v>11550</v>
      </c>
      <c r="AR35" s="129">
        <f>AJ36/8*AO35</f>
        <v>3412.5</v>
      </c>
      <c r="AS35" s="130">
        <f>AQ35+AR35</f>
        <v>14962.5</v>
      </c>
    </row>
    <row r="36" spans="1:45" x14ac:dyDescent="0.25">
      <c r="A36" s="132"/>
      <c r="B36" s="124"/>
      <c r="C36" s="9">
        <v>6</v>
      </c>
      <c r="D36" s="9">
        <v>1</v>
      </c>
      <c r="E36" s="9">
        <v>3</v>
      </c>
      <c r="F36" s="9"/>
      <c r="G36" s="9"/>
      <c r="H36" s="9">
        <v>2</v>
      </c>
      <c r="I36" s="9">
        <v>2</v>
      </c>
      <c r="J36" s="9">
        <v>5</v>
      </c>
      <c r="K36" s="9">
        <v>4</v>
      </c>
      <c r="L36" s="9">
        <v>3</v>
      </c>
      <c r="M36" s="9"/>
      <c r="N36" s="9"/>
      <c r="O36" s="9">
        <v>4</v>
      </c>
      <c r="P36" s="9">
        <v>4</v>
      </c>
      <c r="Q36" s="9"/>
      <c r="R36" s="9"/>
      <c r="S36" s="9">
        <v>4</v>
      </c>
      <c r="T36" s="9"/>
      <c r="U36" s="9">
        <v>1</v>
      </c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35"/>
      <c r="AI36" s="135"/>
      <c r="AJ36" s="15">
        <f>SUM(C36:AG36)</f>
        <v>39</v>
      </c>
      <c r="AK36" s="137"/>
      <c r="AL36" s="137"/>
      <c r="AM36" s="137"/>
      <c r="AN36" s="138"/>
      <c r="AO36" s="140"/>
      <c r="AP36" s="129"/>
      <c r="AQ36" s="161"/>
      <c r="AR36" s="129"/>
      <c r="AS36" s="130"/>
    </row>
    <row r="37" spans="1:45" x14ac:dyDescent="0.25">
      <c r="A37" s="133"/>
      <c r="B37" s="125"/>
      <c r="C37" s="10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36"/>
      <c r="AI37" s="136"/>
      <c r="AJ37" s="16"/>
      <c r="AK37" s="137"/>
      <c r="AL37" s="137"/>
      <c r="AM37" s="137"/>
      <c r="AN37" s="138"/>
      <c r="AO37" s="141"/>
      <c r="AP37" s="129"/>
      <c r="AQ37" s="161"/>
      <c r="AR37" s="129"/>
      <c r="AS37" s="130"/>
    </row>
    <row r="38" spans="1:45" x14ac:dyDescent="0.25">
      <c r="A38" s="131">
        <v>12</v>
      </c>
      <c r="B38" s="123" t="s">
        <v>72</v>
      </c>
      <c r="C38" s="1" t="s">
        <v>41</v>
      </c>
      <c r="D38" s="1" t="s">
        <v>41</v>
      </c>
      <c r="E38" s="1" t="s">
        <v>41</v>
      </c>
      <c r="F38" s="1" t="s">
        <v>41</v>
      </c>
      <c r="G38" s="1" t="s">
        <v>41</v>
      </c>
      <c r="H38" s="1" t="s">
        <v>41</v>
      </c>
      <c r="I38" s="1" t="s">
        <v>41</v>
      </c>
      <c r="J38" s="1" t="s">
        <v>41</v>
      </c>
      <c r="K38" s="1" t="s">
        <v>41</v>
      </c>
      <c r="L38" s="1" t="s">
        <v>41</v>
      </c>
      <c r="M38" s="1" t="s">
        <v>41</v>
      </c>
      <c r="N38" s="1" t="s">
        <v>41</v>
      </c>
      <c r="O38" s="1" t="s">
        <v>41</v>
      </c>
      <c r="P38" s="1" t="s">
        <v>41</v>
      </c>
      <c r="Q38" s="1" t="s">
        <v>52</v>
      </c>
      <c r="R38" s="1" t="s">
        <v>52</v>
      </c>
      <c r="S38" s="1" t="s">
        <v>41</v>
      </c>
      <c r="T38" s="1" t="s">
        <v>41</v>
      </c>
      <c r="U38" s="1" t="s">
        <v>41</v>
      </c>
      <c r="V38" s="1" t="s">
        <v>41</v>
      </c>
      <c r="W38" s="1" t="s">
        <v>41</v>
      </c>
      <c r="X38" s="1" t="s">
        <v>41</v>
      </c>
      <c r="Y38" s="1" t="s">
        <v>41</v>
      </c>
      <c r="Z38" s="1" t="s">
        <v>41</v>
      </c>
      <c r="AA38" s="1" t="s">
        <v>41</v>
      </c>
      <c r="AB38" s="1" t="s">
        <v>41</v>
      </c>
      <c r="AC38" s="1" t="s">
        <v>41</v>
      </c>
      <c r="AD38" s="1" t="s">
        <v>41</v>
      </c>
      <c r="AE38" s="1" t="s">
        <v>41</v>
      </c>
      <c r="AF38" s="1" t="s">
        <v>41</v>
      </c>
      <c r="AG38" s="1" t="s">
        <v>41</v>
      </c>
      <c r="AH38" s="134">
        <f>COUNTIF(C38:AG38,"P")</f>
        <v>29</v>
      </c>
      <c r="AI38" s="134">
        <f>COUNTIF(D38:AH38,"P/2")</f>
        <v>0</v>
      </c>
      <c r="AJ38" s="15"/>
      <c r="AK38" s="137">
        <f>COUNTIF(C40:AG40,"BAAS")</f>
        <v>0</v>
      </c>
      <c r="AL38" s="137">
        <f>COUNTIF(D40:AH40,"RCML")</f>
        <v>0</v>
      </c>
      <c r="AM38" s="137">
        <f>COUNTIF(E40:AJ40,"PRE")</f>
        <v>0</v>
      </c>
      <c r="AN38" s="138">
        <f>COUNTIF(F40:AK40,"BAKR")</f>
        <v>0</v>
      </c>
      <c r="AO38" s="139">
        <v>700</v>
      </c>
      <c r="AP38" s="129">
        <f>AO38*AI38/2</f>
        <v>0</v>
      </c>
      <c r="AQ38" s="129">
        <f>AH38*AO38+AP38</f>
        <v>20300</v>
      </c>
      <c r="AR38" s="129">
        <f>AJ39/8*AO38</f>
        <v>9712.5</v>
      </c>
      <c r="AS38" s="130">
        <f>AQ38+AR38</f>
        <v>30012.5</v>
      </c>
    </row>
    <row r="39" spans="1:45" x14ac:dyDescent="0.25">
      <c r="A39" s="132"/>
      <c r="B39" s="124"/>
      <c r="C39" s="9">
        <v>7</v>
      </c>
      <c r="D39" s="9">
        <v>2</v>
      </c>
      <c r="E39" s="9">
        <v>3</v>
      </c>
      <c r="F39" s="9">
        <v>7</v>
      </c>
      <c r="G39" s="9">
        <v>5</v>
      </c>
      <c r="H39" s="9">
        <v>1</v>
      </c>
      <c r="I39" s="9">
        <v>2</v>
      </c>
      <c r="J39" s="9">
        <v>4</v>
      </c>
      <c r="K39" s="9">
        <v>4</v>
      </c>
      <c r="L39" s="9">
        <v>3</v>
      </c>
      <c r="M39" s="9">
        <v>2</v>
      </c>
      <c r="N39" s="9"/>
      <c r="O39" s="9">
        <v>5</v>
      </c>
      <c r="P39" s="9">
        <v>4</v>
      </c>
      <c r="Q39" s="9"/>
      <c r="R39" s="9"/>
      <c r="S39" s="9">
        <v>8</v>
      </c>
      <c r="T39" s="9">
        <v>2</v>
      </c>
      <c r="U39" s="9">
        <v>4</v>
      </c>
      <c r="V39" s="9">
        <v>4</v>
      </c>
      <c r="W39" s="9">
        <v>6</v>
      </c>
      <c r="X39" s="9">
        <v>6</v>
      </c>
      <c r="Y39" s="9">
        <v>4</v>
      </c>
      <c r="Z39" s="9">
        <v>4</v>
      </c>
      <c r="AA39" s="9">
        <v>2</v>
      </c>
      <c r="AB39" s="9">
        <v>1</v>
      </c>
      <c r="AC39" s="9">
        <v>4</v>
      </c>
      <c r="AD39" s="9">
        <v>4</v>
      </c>
      <c r="AE39" s="9">
        <v>6</v>
      </c>
      <c r="AF39" s="9">
        <v>4</v>
      </c>
      <c r="AG39" s="9">
        <v>3</v>
      </c>
      <c r="AH39" s="135"/>
      <c r="AI39" s="135"/>
      <c r="AJ39" s="15">
        <f>SUM(C39:AG39)</f>
        <v>111</v>
      </c>
      <c r="AK39" s="137"/>
      <c r="AL39" s="137"/>
      <c r="AM39" s="137"/>
      <c r="AN39" s="138"/>
      <c r="AO39" s="140"/>
      <c r="AP39" s="129"/>
      <c r="AQ39" s="129"/>
      <c r="AR39" s="129"/>
      <c r="AS39" s="130"/>
    </row>
    <row r="40" spans="1:45" x14ac:dyDescent="0.25">
      <c r="A40" s="133"/>
      <c r="B40" s="125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36"/>
      <c r="AI40" s="136"/>
      <c r="AJ40" s="16"/>
      <c r="AK40" s="137"/>
      <c r="AL40" s="137"/>
      <c r="AM40" s="137"/>
      <c r="AN40" s="138"/>
      <c r="AO40" s="141"/>
      <c r="AP40" s="129"/>
      <c r="AQ40" s="129"/>
      <c r="AR40" s="129"/>
      <c r="AS40" s="130"/>
    </row>
    <row r="41" spans="1:45" x14ac:dyDescent="0.25">
      <c r="A41" s="131">
        <v>13</v>
      </c>
      <c r="B41" s="123" t="s">
        <v>73</v>
      </c>
      <c r="C41" s="1" t="s">
        <v>41</v>
      </c>
      <c r="D41" s="1" t="s">
        <v>41</v>
      </c>
      <c r="E41" s="1" t="s">
        <v>41</v>
      </c>
      <c r="F41" s="1" t="s">
        <v>41</v>
      </c>
      <c r="G41" s="1" t="s">
        <v>52</v>
      </c>
      <c r="H41" s="1" t="s">
        <v>41</v>
      </c>
      <c r="I41" s="1" t="s">
        <v>41</v>
      </c>
      <c r="J41" s="1" t="s">
        <v>41</v>
      </c>
      <c r="K41" s="1" t="s">
        <v>41</v>
      </c>
      <c r="L41" s="1" t="s">
        <v>41</v>
      </c>
      <c r="M41" s="1" t="s">
        <v>41</v>
      </c>
      <c r="N41" s="1" t="s">
        <v>41</v>
      </c>
      <c r="O41" s="1" t="s">
        <v>41</v>
      </c>
      <c r="P41" s="1" t="s">
        <v>41</v>
      </c>
      <c r="Q41" s="1" t="s">
        <v>52</v>
      </c>
      <c r="R41" s="1" t="s">
        <v>52</v>
      </c>
      <c r="S41" s="1" t="s">
        <v>41</v>
      </c>
      <c r="T41" s="1" t="s">
        <v>52</v>
      </c>
      <c r="U41" s="1" t="s">
        <v>41</v>
      </c>
      <c r="V41" s="1" t="s">
        <v>41</v>
      </c>
      <c r="W41" s="1" t="s">
        <v>52</v>
      </c>
      <c r="X41" s="1" t="s">
        <v>41</v>
      </c>
      <c r="Y41" s="1" t="s">
        <v>41</v>
      </c>
      <c r="Z41" s="1" t="s">
        <v>56</v>
      </c>
      <c r="AA41" s="1" t="s">
        <v>41</v>
      </c>
      <c r="AB41" s="1" t="s">
        <v>52</v>
      </c>
      <c r="AC41" s="1" t="s">
        <v>52</v>
      </c>
      <c r="AD41" s="1" t="s">
        <v>41</v>
      </c>
      <c r="AE41" s="1" t="s">
        <v>52</v>
      </c>
      <c r="AF41" s="1" t="s">
        <v>41</v>
      </c>
      <c r="AG41" s="1" t="s">
        <v>41</v>
      </c>
      <c r="AH41" s="134">
        <f>COUNTIF(C41:AG41,"P")</f>
        <v>22</v>
      </c>
      <c r="AI41" s="134">
        <f>COUNTIF(D41:AH41,"P/2")</f>
        <v>1</v>
      </c>
      <c r="AJ41" s="15"/>
      <c r="AK41" s="137">
        <f>COUNTIF(C43:AG43,"BAAS")</f>
        <v>0</v>
      </c>
      <c r="AL41" s="137">
        <f>COUNTIF(D43:AH43,"RCML")</f>
        <v>0</v>
      </c>
      <c r="AM41" s="137">
        <f>COUNTIF(E43:AJ43,"PRE")</f>
        <v>0</v>
      </c>
      <c r="AN41" s="138">
        <f>COUNTIF(F43:AK43,"BAKR")</f>
        <v>0</v>
      </c>
      <c r="AO41" s="139">
        <v>700</v>
      </c>
      <c r="AP41" s="129">
        <f>AO41*AI41/2</f>
        <v>350</v>
      </c>
      <c r="AQ41" s="129">
        <f>AH41*AO41+AP41</f>
        <v>15750</v>
      </c>
      <c r="AR41" s="129">
        <f>AJ42/8*AO41</f>
        <v>4462.5</v>
      </c>
      <c r="AS41" s="130">
        <f>AQ41+AR41</f>
        <v>20212.5</v>
      </c>
    </row>
    <row r="42" spans="1:45" x14ac:dyDescent="0.25">
      <c r="A42" s="132"/>
      <c r="B42" s="124"/>
      <c r="C42" s="9">
        <v>4</v>
      </c>
      <c r="D42" s="9">
        <v>1</v>
      </c>
      <c r="E42" s="9">
        <v>3</v>
      </c>
      <c r="F42" s="9">
        <v>2</v>
      </c>
      <c r="G42" s="9"/>
      <c r="H42" s="9"/>
      <c r="I42" s="9">
        <v>2</v>
      </c>
      <c r="J42" s="9">
        <v>5</v>
      </c>
      <c r="K42" s="9">
        <v>4</v>
      </c>
      <c r="L42" s="9">
        <v>3</v>
      </c>
      <c r="M42" s="9"/>
      <c r="N42" s="9"/>
      <c r="O42" s="9">
        <v>4</v>
      </c>
      <c r="P42" s="9">
        <v>4</v>
      </c>
      <c r="Q42" s="9"/>
      <c r="R42" s="9"/>
      <c r="S42" s="9"/>
      <c r="T42" s="9"/>
      <c r="U42" s="9">
        <v>1</v>
      </c>
      <c r="V42" s="9"/>
      <c r="W42" s="9"/>
      <c r="X42" s="9">
        <v>4</v>
      </c>
      <c r="Y42" s="9">
        <v>5</v>
      </c>
      <c r="Z42" s="9"/>
      <c r="AA42" s="9"/>
      <c r="AB42" s="9"/>
      <c r="AC42" s="9"/>
      <c r="AD42" s="9"/>
      <c r="AE42" s="9"/>
      <c r="AF42" s="9">
        <v>4</v>
      </c>
      <c r="AG42" s="9">
        <v>5</v>
      </c>
      <c r="AH42" s="135"/>
      <c r="AI42" s="135"/>
      <c r="AJ42" s="15">
        <f>SUM(C42:AG42)</f>
        <v>51</v>
      </c>
      <c r="AK42" s="137"/>
      <c r="AL42" s="137"/>
      <c r="AM42" s="137"/>
      <c r="AN42" s="138"/>
      <c r="AO42" s="140"/>
      <c r="AP42" s="129"/>
      <c r="AQ42" s="129"/>
      <c r="AR42" s="129"/>
      <c r="AS42" s="130"/>
    </row>
    <row r="43" spans="1:45" x14ac:dyDescent="0.25">
      <c r="A43" s="133"/>
      <c r="B43" s="125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36"/>
      <c r="AI43" s="136"/>
      <c r="AJ43" s="16"/>
      <c r="AK43" s="137"/>
      <c r="AL43" s="137"/>
      <c r="AM43" s="137"/>
      <c r="AN43" s="138"/>
      <c r="AO43" s="141"/>
      <c r="AP43" s="129"/>
      <c r="AQ43" s="129"/>
      <c r="AR43" s="129"/>
      <c r="AS43" s="130"/>
    </row>
    <row r="44" spans="1:45" x14ac:dyDescent="0.25">
      <c r="A44" s="131">
        <v>14</v>
      </c>
      <c r="B44" s="123" t="s">
        <v>74</v>
      </c>
      <c r="C44" s="1" t="s">
        <v>41</v>
      </c>
      <c r="D44" s="1" t="s">
        <v>41</v>
      </c>
      <c r="E44" s="1" t="s">
        <v>41</v>
      </c>
      <c r="F44" s="1" t="s">
        <v>41</v>
      </c>
      <c r="G44" s="1" t="s">
        <v>41</v>
      </c>
      <c r="H44" s="1" t="s">
        <v>41</v>
      </c>
      <c r="I44" s="1" t="s">
        <v>52</v>
      </c>
      <c r="J44" s="1" t="s">
        <v>41</v>
      </c>
      <c r="K44" s="1" t="s">
        <v>41</v>
      </c>
      <c r="L44" s="1" t="s">
        <v>41</v>
      </c>
      <c r="M44" s="1" t="s">
        <v>41</v>
      </c>
      <c r="N44" s="1" t="s">
        <v>41</v>
      </c>
      <c r="O44" s="1" t="s">
        <v>41</v>
      </c>
      <c r="P44" s="1" t="s">
        <v>41</v>
      </c>
      <c r="Q44" s="1" t="s">
        <v>52</v>
      </c>
      <c r="R44" s="1" t="s">
        <v>52</v>
      </c>
      <c r="S44" s="1" t="s">
        <v>41</v>
      </c>
      <c r="T44" s="1" t="s">
        <v>41</v>
      </c>
      <c r="U44" s="1" t="s">
        <v>41</v>
      </c>
      <c r="V44" s="1" t="s">
        <v>41</v>
      </c>
      <c r="W44" s="1" t="s">
        <v>41</v>
      </c>
      <c r="X44" s="1" t="s">
        <v>41</v>
      </c>
      <c r="Y44" s="1" t="s">
        <v>41</v>
      </c>
      <c r="Z44" s="1" t="s">
        <v>41</v>
      </c>
      <c r="AA44" s="1" t="s">
        <v>41</v>
      </c>
      <c r="AB44" s="1" t="s">
        <v>41</v>
      </c>
      <c r="AC44" s="1" t="s">
        <v>41</v>
      </c>
      <c r="AD44" s="1" t="s">
        <v>41</v>
      </c>
      <c r="AE44" s="1" t="s">
        <v>41</v>
      </c>
      <c r="AF44" s="1" t="s">
        <v>41</v>
      </c>
      <c r="AG44" s="1" t="s">
        <v>41</v>
      </c>
      <c r="AH44" s="134">
        <f>COUNTIF(C44:AG44,"P")</f>
        <v>28</v>
      </c>
      <c r="AI44" s="134">
        <f>COUNTIF(D44:AH44,"P/2")</f>
        <v>0</v>
      </c>
      <c r="AJ44" s="15"/>
      <c r="AK44" s="137">
        <f>COUNTIF(C46:AG46,"BAAS")</f>
        <v>0</v>
      </c>
      <c r="AL44" s="137">
        <f>COUNTIF(D46:AH46,"RCML")</f>
        <v>0</v>
      </c>
      <c r="AM44" s="137">
        <f>COUNTIF(E46:AJ46,"PRE")</f>
        <v>0</v>
      </c>
      <c r="AN44" s="138">
        <f>COUNTIF(F46:AK46,"BAKR")</f>
        <v>0</v>
      </c>
      <c r="AO44" s="139">
        <v>700</v>
      </c>
      <c r="AP44" s="129">
        <f>AO44*AI44/2</f>
        <v>0</v>
      </c>
      <c r="AQ44" s="129">
        <f>AH44*AO44+AP44</f>
        <v>19600</v>
      </c>
      <c r="AR44" s="129">
        <f>AJ45/8*AO44</f>
        <v>6825</v>
      </c>
      <c r="AS44" s="130">
        <f>AQ44+AR44</f>
        <v>26425</v>
      </c>
    </row>
    <row r="45" spans="1:45" x14ac:dyDescent="0.25">
      <c r="A45" s="132"/>
      <c r="B45" s="124"/>
      <c r="C45" s="9">
        <v>6</v>
      </c>
      <c r="D45" s="9">
        <v>1</v>
      </c>
      <c r="E45" s="9">
        <v>4</v>
      </c>
      <c r="F45" s="9">
        <v>3</v>
      </c>
      <c r="G45" s="9">
        <v>3</v>
      </c>
      <c r="H45" s="9">
        <v>2</v>
      </c>
      <c r="I45" s="9"/>
      <c r="J45" s="9">
        <v>5</v>
      </c>
      <c r="K45" s="9">
        <v>4</v>
      </c>
      <c r="L45" s="9">
        <v>3</v>
      </c>
      <c r="M45" s="9"/>
      <c r="N45" s="9"/>
      <c r="O45" s="9">
        <v>4</v>
      </c>
      <c r="P45" s="9">
        <v>4</v>
      </c>
      <c r="Q45" s="9"/>
      <c r="R45" s="9"/>
      <c r="S45" s="9">
        <v>3</v>
      </c>
      <c r="T45" s="9"/>
      <c r="U45" s="9">
        <v>3</v>
      </c>
      <c r="V45" s="9">
        <v>3</v>
      </c>
      <c r="W45" s="9">
        <v>4</v>
      </c>
      <c r="X45" s="9"/>
      <c r="Y45" s="9">
        <v>1</v>
      </c>
      <c r="Z45" s="9">
        <v>4</v>
      </c>
      <c r="AA45" s="9"/>
      <c r="AB45" s="9">
        <v>1</v>
      </c>
      <c r="AC45" s="9">
        <v>3</v>
      </c>
      <c r="AD45" s="9">
        <v>3</v>
      </c>
      <c r="AE45" s="9">
        <v>4</v>
      </c>
      <c r="AF45" s="9">
        <v>5</v>
      </c>
      <c r="AG45" s="9">
        <v>5</v>
      </c>
      <c r="AH45" s="135"/>
      <c r="AI45" s="135"/>
      <c r="AJ45" s="15">
        <f>SUM(C45:AG45)</f>
        <v>78</v>
      </c>
      <c r="AK45" s="137"/>
      <c r="AL45" s="137"/>
      <c r="AM45" s="137"/>
      <c r="AN45" s="138"/>
      <c r="AO45" s="140"/>
      <c r="AP45" s="129"/>
      <c r="AQ45" s="129"/>
      <c r="AR45" s="129"/>
      <c r="AS45" s="130"/>
    </row>
    <row r="46" spans="1:45" x14ac:dyDescent="0.25">
      <c r="A46" s="133"/>
      <c r="B46" s="125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36"/>
      <c r="AI46" s="136"/>
      <c r="AJ46" s="16"/>
      <c r="AK46" s="137"/>
      <c r="AL46" s="137"/>
      <c r="AM46" s="137"/>
      <c r="AN46" s="138"/>
      <c r="AO46" s="141"/>
      <c r="AP46" s="129"/>
      <c r="AQ46" s="129"/>
      <c r="AR46" s="129"/>
      <c r="AS46" s="130"/>
    </row>
    <row r="47" spans="1:45" x14ac:dyDescent="0.25">
      <c r="A47" s="131">
        <v>15</v>
      </c>
      <c r="B47" s="126" t="s">
        <v>75</v>
      </c>
      <c r="C47" s="1" t="s">
        <v>41</v>
      </c>
      <c r="D47" s="1" t="s">
        <v>41</v>
      </c>
      <c r="E47" s="1" t="s">
        <v>41</v>
      </c>
      <c r="F47" s="1" t="s">
        <v>41</v>
      </c>
      <c r="G47" s="1" t="s">
        <v>41</v>
      </c>
      <c r="H47" s="1" t="s">
        <v>41</v>
      </c>
      <c r="I47" s="1" t="s">
        <v>41</v>
      </c>
      <c r="J47" s="1" t="s">
        <v>41</v>
      </c>
      <c r="K47" s="1" t="s">
        <v>41</v>
      </c>
      <c r="L47" s="1" t="s">
        <v>41</v>
      </c>
      <c r="M47" s="1" t="s">
        <v>41</v>
      </c>
      <c r="N47" s="1" t="s">
        <v>52</v>
      </c>
      <c r="O47" s="1" t="s">
        <v>52</v>
      </c>
      <c r="P47" s="1" t="s">
        <v>52</v>
      </c>
      <c r="Q47" s="1" t="s">
        <v>52</v>
      </c>
      <c r="R47" s="1" t="s">
        <v>52</v>
      </c>
      <c r="S47" s="1" t="s">
        <v>52</v>
      </c>
      <c r="T47" s="1" t="s">
        <v>52</v>
      </c>
      <c r="U47" s="1" t="s">
        <v>52</v>
      </c>
      <c r="V47" s="1" t="s">
        <v>52</v>
      </c>
      <c r="W47" s="1" t="s">
        <v>52</v>
      </c>
      <c r="X47" s="1" t="s">
        <v>52</v>
      </c>
      <c r="Y47" s="1" t="s">
        <v>52</v>
      </c>
      <c r="Z47" s="1" t="s">
        <v>52</v>
      </c>
      <c r="AA47" s="1" t="s">
        <v>52</v>
      </c>
      <c r="AB47" s="1" t="s">
        <v>52</v>
      </c>
      <c r="AC47" s="1" t="s">
        <v>52</v>
      </c>
      <c r="AD47" s="1" t="s">
        <v>52</v>
      </c>
      <c r="AE47" s="1" t="s">
        <v>52</v>
      </c>
      <c r="AF47" s="1" t="s">
        <v>52</v>
      </c>
      <c r="AG47" s="1" t="s">
        <v>52</v>
      </c>
      <c r="AH47" s="134">
        <f>COUNTIF(C47:AG47,"P")</f>
        <v>11</v>
      </c>
      <c r="AI47" s="134">
        <f>COUNTIF(D47:AH47,"P/2")</f>
        <v>0</v>
      </c>
      <c r="AJ47" s="15"/>
      <c r="AK47" s="137">
        <f>COUNTIF(C49:AG49,"BAAS")</f>
        <v>0</v>
      </c>
      <c r="AL47" s="137">
        <f>COUNTIF(D49:AH49,"RCML")</f>
        <v>0</v>
      </c>
      <c r="AM47" s="137">
        <f>COUNTIF(E49:AJ49,"PRE")</f>
        <v>0</v>
      </c>
      <c r="AN47" s="138">
        <f>COUNTIF(F49:AK49,"BAKR")</f>
        <v>0</v>
      </c>
      <c r="AO47" s="139">
        <v>700</v>
      </c>
      <c r="AP47" s="129">
        <f>AO47*AI47/2</f>
        <v>0</v>
      </c>
      <c r="AQ47" s="129">
        <f>AH47*AO47+AP47</f>
        <v>7700</v>
      </c>
      <c r="AR47" s="129">
        <f>AJ48/8*AO47</f>
        <v>2625</v>
      </c>
      <c r="AS47" s="130">
        <f>AQ47+AR47</f>
        <v>10325</v>
      </c>
    </row>
    <row r="48" spans="1:45" x14ac:dyDescent="0.25">
      <c r="A48" s="132"/>
      <c r="B48" s="127"/>
      <c r="C48" s="9">
        <v>6</v>
      </c>
      <c r="D48" s="9">
        <v>1</v>
      </c>
      <c r="E48" s="9"/>
      <c r="F48" s="9">
        <v>2</v>
      </c>
      <c r="G48" s="9">
        <v>4</v>
      </c>
      <c r="H48" s="9">
        <v>1</v>
      </c>
      <c r="I48" s="9">
        <v>4</v>
      </c>
      <c r="J48" s="9">
        <v>7</v>
      </c>
      <c r="K48" s="9">
        <v>2</v>
      </c>
      <c r="L48" s="9">
        <v>3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135"/>
      <c r="AI48" s="135"/>
      <c r="AJ48" s="15">
        <f>SUM(C48:AG48)</f>
        <v>30</v>
      </c>
      <c r="AK48" s="137"/>
      <c r="AL48" s="137"/>
      <c r="AM48" s="137"/>
      <c r="AN48" s="138"/>
      <c r="AO48" s="140"/>
      <c r="AP48" s="129"/>
      <c r="AQ48" s="129"/>
      <c r="AR48" s="129"/>
      <c r="AS48" s="130"/>
    </row>
    <row r="49" spans="1:45" x14ac:dyDescent="0.25">
      <c r="A49" s="133"/>
      <c r="B49" s="128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36"/>
      <c r="AI49" s="136"/>
      <c r="AJ49" s="16"/>
      <c r="AK49" s="137"/>
      <c r="AL49" s="137"/>
      <c r="AM49" s="137"/>
      <c r="AN49" s="138"/>
      <c r="AO49" s="141"/>
      <c r="AP49" s="129"/>
      <c r="AQ49" s="129"/>
      <c r="AR49" s="129"/>
      <c r="AS49" s="130"/>
    </row>
    <row r="50" spans="1:45" x14ac:dyDescent="0.25">
      <c r="A50" s="131">
        <v>16</v>
      </c>
      <c r="B50" s="123" t="s">
        <v>76</v>
      </c>
      <c r="C50" s="1" t="s">
        <v>41</v>
      </c>
      <c r="D50" s="1" t="s">
        <v>41</v>
      </c>
      <c r="E50" s="1" t="s">
        <v>41</v>
      </c>
      <c r="F50" s="1" t="s">
        <v>41</v>
      </c>
      <c r="G50" s="1" t="s">
        <v>41</v>
      </c>
      <c r="H50" s="1" t="s">
        <v>41</v>
      </c>
      <c r="I50" s="1" t="s">
        <v>41</v>
      </c>
      <c r="J50" s="1" t="s">
        <v>41</v>
      </c>
      <c r="K50" s="1" t="s">
        <v>41</v>
      </c>
      <c r="L50" s="1" t="s">
        <v>41</v>
      </c>
      <c r="M50" s="1" t="s">
        <v>41</v>
      </c>
      <c r="N50" s="1" t="s">
        <v>41</v>
      </c>
      <c r="O50" s="1" t="s">
        <v>41</v>
      </c>
      <c r="P50" s="1" t="s">
        <v>41</v>
      </c>
      <c r="Q50" s="1" t="s">
        <v>52</v>
      </c>
      <c r="R50" s="1" t="s">
        <v>52</v>
      </c>
      <c r="S50" s="1" t="s">
        <v>41</v>
      </c>
      <c r="T50" s="1" t="s">
        <v>41</v>
      </c>
      <c r="U50" s="1" t="s">
        <v>41</v>
      </c>
      <c r="V50" s="1" t="s">
        <v>41</v>
      </c>
      <c r="W50" s="1" t="s">
        <v>41</v>
      </c>
      <c r="X50" s="1" t="s">
        <v>41</v>
      </c>
      <c r="Y50" s="1" t="s">
        <v>41</v>
      </c>
      <c r="Z50" s="1" t="s">
        <v>41</v>
      </c>
      <c r="AA50" s="1" t="s">
        <v>41</v>
      </c>
      <c r="AB50" s="1" t="s">
        <v>41</v>
      </c>
      <c r="AC50" s="1" t="s">
        <v>41</v>
      </c>
      <c r="AD50" s="1" t="s">
        <v>41</v>
      </c>
      <c r="AE50" s="1" t="s">
        <v>41</v>
      </c>
      <c r="AF50" s="1" t="s">
        <v>41</v>
      </c>
      <c r="AG50" s="1" t="s">
        <v>41</v>
      </c>
      <c r="AH50" s="134">
        <f>COUNTIF(C50:AG50,"P")</f>
        <v>29</v>
      </c>
      <c r="AI50" s="134">
        <f>COUNTIF(D50:AH50,"P/2")</f>
        <v>0</v>
      </c>
      <c r="AJ50" s="15"/>
      <c r="AK50" s="137">
        <f>COUNTIF(C52:AG52,"BAAS")</f>
        <v>0</v>
      </c>
      <c r="AL50" s="137">
        <f>COUNTIF(D52:AH52,"RCML")</f>
        <v>0</v>
      </c>
      <c r="AM50" s="137">
        <f>COUNTIF(E52:AJ52,"PRE")</f>
        <v>0</v>
      </c>
      <c r="AN50" s="138">
        <f>COUNTIF(F52:AK52,"BAKR")</f>
        <v>0</v>
      </c>
      <c r="AO50" s="139">
        <v>700</v>
      </c>
      <c r="AP50" s="129">
        <f>AO50*AI50/2</f>
        <v>0</v>
      </c>
      <c r="AQ50" s="129">
        <f>AH50*AO50+AP50</f>
        <v>20300</v>
      </c>
      <c r="AR50" s="129">
        <f>AJ51/8*AO50</f>
        <v>8400</v>
      </c>
      <c r="AS50" s="130">
        <f>AQ50+AR50</f>
        <v>28700</v>
      </c>
    </row>
    <row r="51" spans="1:45" x14ac:dyDescent="0.25">
      <c r="A51" s="132"/>
      <c r="B51" s="124"/>
      <c r="C51" s="9">
        <v>6</v>
      </c>
      <c r="D51" s="9">
        <v>2</v>
      </c>
      <c r="E51" s="9">
        <v>4</v>
      </c>
      <c r="F51" s="9">
        <v>7</v>
      </c>
      <c r="G51" s="9">
        <v>3</v>
      </c>
      <c r="H51" s="9">
        <v>1</v>
      </c>
      <c r="I51" s="9">
        <v>2</v>
      </c>
      <c r="J51" s="9">
        <v>3</v>
      </c>
      <c r="K51" s="9">
        <v>4</v>
      </c>
      <c r="L51" s="9">
        <v>3</v>
      </c>
      <c r="M51" s="9">
        <v>2</v>
      </c>
      <c r="N51" s="9"/>
      <c r="O51" s="9">
        <v>4</v>
      </c>
      <c r="P51" s="9">
        <v>4</v>
      </c>
      <c r="Q51" s="9"/>
      <c r="R51" s="9"/>
      <c r="S51" s="9">
        <v>5</v>
      </c>
      <c r="T51" s="9"/>
      <c r="U51" s="9">
        <v>2</v>
      </c>
      <c r="V51" s="9">
        <v>3</v>
      </c>
      <c r="W51" s="9">
        <v>4</v>
      </c>
      <c r="X51" s="9">
        <v>5</v>
      </c>
      <c r="Y51" s="9">
        <v>4</v>
      </c>
      <c r="Z51" s="9">
        <v>4</v>
      </c>
      <c r="AA51" s="9"/>
      <c r="AB51" s="9">
        <v>1</v>
      </c>
      <c r="AC51" s="9">
        <v>4</v>
      </c>
      <c r="AD51" s="9">
        <v>4</v>
      </c>
      <c r="AE51" s="9">
        <v>6</v>
      </c>
      <c r="AF51" s="9">
        <v>4</v>
      </c>
      <c r="AG51" s="9">
        <v>5</v>
      </c>
      <c r="AH51" s="135"/>
      <c r="AI51" s="135"/>
      <c r="AJ51" s="15">
        <f>SUM(C51:AG51)</f>
        <v>96</v>
      </c>
      <c r="AK51" s="137"/>
      <c r="AL51" s="137"/>
      <c r="AM51" s="137"/>
      <c r="AN51" s="138"/>
      <c r="AO51" s="140"/>
      <c r="AP51" s="129"/>
      <c r="AQ51" s="129"/>
      <c r="AR51" s="129"/>
      <c r="AS51" s="130"/>
    </row>
    <row r="52" spans="1:45" x14ac:dyDescent="0.25">
      <c r="A52" s="133"/>
      <c r="B52" s="125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36"/>
      <c r="AI52" s="136"/>
      <c r="AJ52" s="16"/>
      <c r="AK52" s="137"/>
      <c r="AL52" s="137"/>
      <c r="AM52" s="137"/>
      <c r="AN52" s="138"/>
      <c r="AO52" s="141"/>
      <c r="AP52" s="129"/>
      <c r="AQ52" s="129"/>
      <c r="AR52" s="129"/>
      <c r="AS52" s="130"/>
    </row>
    <row r="53" spans="1:45" x14ac:dyDescent="0.25">
      <c r="A53" s="131">
        <v>17</v>
      </c>
      <c r="B53" s="123" t="s">
        <v>77</v>
      </c>
      <c r="C53" s="1"/>
      <c r="D53" s="1"/>
      <c r="E53" s="1" t="s">
        <v>41</v>
      </c>
      <c r="F53" s="1" t="s">
        <v>41</v>
      </c>
      <c r="G53" s="1" t="s">
        <v>41</v>
      </c>
      <c r="H53" s="1" t="s">
        <v>41</v>
      </c>
      <c r="I53" s="1" t="s">
        <v>41</v>
      </c>
      <c r="J53" s="1" t="s">
        <v>52</v>
      </c>
      <c r="K53" s="1" t="s">
        <v>41</v>
      </c>
      <c r="L53" s="1" t="s">
        <v>41</v>
      </c>
      <c r="M53" s="1" t="s">
        <v>41</v>
      </c>
      <c r="N53" s="1" t="s">
        <v>52</v>
      </c>
      <c r="O53" s="1" t="s">
        <v>41</v>
      </c>
      <c r="P53" s="1" t="s">
        <v>41</v>
      </c>
      <c r="Q53" s="1" t="s">
        <v>52</v>
      </c>
      <c r="R53" s="1" t="s">
        <v>52</v>
      </c>
      <c r="S53" s="1" t="s">
        <v>41</v>
      </c>
      <c r="T53" s="1" t="s">
        <v>41</v>
      </c>
      <c r="U53" s="1" t="s">
        <v>52</v>
      </c>
      <c r="V53" s="1" t="s">
        <v>52</v>
      </c>
      <c r="W53" s="1" t="s">
        <v>41</v>
      </c>
      <c r="X53" s="1" t="s">
        <v>41</v>
      </c>
      <c r="Y53" s="1" t="s">
        <v>41</v>
      </c>
      <c r="Z53" s="1" t="s">
        <v>41</v>
      </c>
      <c r="AA53" s="1" t="s">
        <v>41</v>
      </c>
      <c r="AB53" s="1" t="s">
        <v>41</v>
      </c>
      <c r="AC53" s="1" t="s">
        <v>41</v>
      </c>
      <c r="AD53" s="1" t="s">
        <v>41</v>
      </c>
      <c r="AE53" s="1" t="s">
        <v>52</v>
      </c>
      <c r="AF53" s="1" t="s">
        <v>41</v>
      </c>
      <c r="AG53" s="1" t="s">
        <v>41</v>
      </c>
      <c r="AH53" s="134">
        <f>COUNTIF(C53:AG53,"P")</f>
        <v>22</v>
      </c>
      <c r="AI53" s="134">
        <f>COUNTIF(D53:AH53,"P/2")</f>
        <v>0</v>
      </c>
      <c r="AJ53" s="15"/>
      <c r="AK53" s="137">
        <f>COUNTIF(C55:AG55,"BAAS")</f>
        <v>0</v>
      </c>
      <c r="AL53" s="137">
        <f>COUNTIF(D55:AH55,"RCML")</f>
        <v>0</v>
      </c>
      <c r="AM53" s="137">
        <f>COUNTIF(E55:AJ55,"PRE")</f>
        <v>0</v>
      </c>
      <c r="AN53" s="138">
        <f>COUNTIF(F55:AK55,"BAKR")</f>
        <v>0</v>
      </c>
      <c r="AO53" s="139">
        <v>600</v>
      </c>
      <c r="AP53" s="129">
        <f>AO53*AI53/2</f>
        <v>0</v>
      </c>
      <c r="AQ53" s="129">
        <f>AH53*AO53+AP53</f>
        <v>13200</v>
      </c>
      <c r="AR53" s="129">
        <f>AJ54/8*AO53</f>
        <v>4350</v>
      </c>
      <c r="AS53" s="130">
        <f>AQ53+AR53</f>
        <v>17550</v>
      </c>
    </row>
    <row r="54" spans="1:45" x14ac:dyDescent="0.25">
      <c r="A54" s="132"/>
      <c r="B54" s="124"/>
      <c r="C54" s="9"/>
      <c r="D54" s="9"/>
      <c r="E54" s="9"/>
      <c r="F54" s="9">
        <v>4</v>
      </c>
      <c r="G54" s="9">
        <v>2</v>
      </c>
      <c r="H54" s="9">
        <v>1</v>
      </c>
      <c r="I54" s="9">
        <v>4</v>
      </c>
      <c r="J54" s="9"/>
      <c r="K54" s="9">
        <v>4</v>
      </c>
      <c r="L54" s="9">
        <v>3</v>
      </c>
      <c r="M54" s="9">
        <v>2</v>
      </c>
      <c r="N54" s="9"/>
      <c r="O54" s="9">
        <v>4</v>
      </c>
      <c r="P54" s="9">
        <v>4</v>
      </c>
      <c r="Q54" s="9"/>
      <c r="R54" s="9"/>
      <c r="S54" s="9">
        <v>6</v>
      </c>
      <c r="T54" s="9">
        <v>2</v>
      </c>
      <c r="U54" s="9"/>
      <c r="V54" s="9"/>
      <c r="W54" s="9">
        <v>4</v>
      </c>
      <c r="X54" s="9"/>
      <c r="Y54" s="9">
        <v>2</v>
      </c>
      <c r="Z54" s="9">
        <v>4</v>
      </c>
      <c r="AA54" s="9"/>
      <c r="AB54" s="9">
        <v>1</v>
      </c>
      <c r="AC54" s="9">
        <v>1</v>
      </c>
      <c r="AD54" s="9"/>
      <c r="AE54" s="9"/>
      <c r="AF54" s="9">
        <v>5</v>
      </c>
      <c r="AG54" s="9">
        <v>5</v>
      </c>
      <c r="AH54" s="135"/>
      <c r="AI54" s="135"/>
      <c r="AJ54" s="15">
        <f>SUM(C54:AG54)</f>
        <v>58</v>
      </c>
      <c r="AK54" s="137"/>
      <c r="AL54" s="137"/>
      <c r="AM54" s="137"/>
      <c r="AN54" s="138"/>
      <c r="AO54" s="140"/>
      <c r="AP54" s="129"/>
      <c r="AQ54" s="129"/>
      <c r="AR54" s="129"/>
      <c r="AS54" s="130"/>
    </row>
    <row r="55" spans="1:45" x14ac:dyDescent="0.25">
      <c r="A55" s="133"/>
      <c r="B55" s="125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36"/>
      <c r="AI55" s="136"/>
      <c r="AJ55" s="15"/>
      <c r="AK55" s="137"/>
      <c r="AL55" s="137"/>
      <c r="AM55" s="137"/>
      <c r="AN55" s="138"/>
      <c r="AO55" s="141"/>
      <c r="AP55" s="129"/>
      <c r="AQ55" s="129"/>
      <c r="AR55" s="129"/>
      <c r="AS55" s="130"/>
    </row>
    <row r="56" spans="1:45" x14ac:dyDescent="0.25">
      <c r="A56" s="131">
        <v>18</v>
      </c>
      <c r="B56" s="123" t="s">
        <v>78</v>
      </c>
      <c r="C56" s="1"/>
      <c r="D56" s="1"/>
      <c r="E56" s="1"/>
      <c r="F56" s="1"/>
      <c r="G56" s="1"/>
      <c r="H56" s="1"/>
      <c r="I56" s="1" t="s">
        <v>41</v>
      </c>
      <c r="J56" s="1" t="s">
        <v>41</v>
      </c>
      <c r="K56" s="1" t="s">
        <v>41</v>
      </c>
      <c r="L56" s="1" t="s">
        <v>41</v>
      </c>
      <c r="M56" s="1" t="s">
        <v>41</v>
      </c>
      <c r="N56" s="1" t="s">
        <v>41</v>
      </c>
      <c r="O56" s="1" t="s">
        <v>41</v>
      </c>
      <c r="P56" s="1" t="s">
        <v>41</v>
      </c>
      <c r="Q56" s="1" t="s">
        <v>52</v>
      </c>
      <c r="R56" s="1" t="s">
        <v>52</v>
      </c>
      <c r="S56" s="1" t="s">
        <v>41</v>
      </c>
      <c r="T56" s="1" t="s">
        <v>52</v>
      </c>
      <c r="U56" s="1" t="s">
        <v>41</v>
      </c>
      <c r="V56" s="1" t="s">
        <v>41</v>
      </c>
      <c r="W56" s="1" t="s">
        <v>41</v>
      </c>
      <c r="X56" s="1" t="s">
        <v>41</v>
      </c>
      <c r="Y56" s="1" t="s">
        <v>41</v>
      </c>
      <c r="Z56" s="1" t="s">
        <v>41</v>
      </c>
      <c r="AA56" s="1" t="s">
        <v>41</v>
      </c>
      <c r="AB56" s="1" t="s">
        <v>41</v>
      </c>
      <c r="AC56" s="1" t="s">
        <v>41</v>
      </c>
      <c r="AD56" s="1" t="s">
        <v>41</v>
      </c>
      <c r="AE56" s="1" t="s">
        <v>52</v>
      </c>
      <c r="AF56" s="1" t="s">
        <v>41</v>
      </c>
      <c r="AG56" s="1" t="s">
        <v>52</v>
      </c>
      <c r="AH56" s="134">
        <f>COUNTIF(C56:AG56,"P")</f>
        <v>20</v>
      </c>
      <c r="AI56" s="134">
        <f>COUNTIF(D56:AH56,"P/2")</f>
        <v>0</v>
      </c>
      <c r="AJ56" s="15"/>
      <c r="AK56" s="137">
        <f>COUNTIF(C58:AG58,"BAAS")</f>
        <v>0</v>
      </c>
      <c r="AL56" s="137">
        <f>COUNTIF(D58:AH58,"RCML")</f>
        <v>0</v>
      </c>
      <c r="AM56" s="137">
        <f>COUNTIF(E58:AJ58,"PRE")</f>
        <v>0</v>
      </c>
      <c r="AN56" s="138">
        <f>COUNTIF(F58:AK58,"BAKR")</f>
        <v>0</v>
      </c>
      <c r="AO56" s="139">
        <v>700</v>
      </c>
      <c r="AP56" s="129">
        <f>AO56*AI56/2</f>
        <v>0</v>
      </c>
      <c r="AQ56" s="129">
        <f>AH56*AO56+AP56</f>
        <v>14000</v>
      </c>
      <c r="AR56" s="129">
        <f>AJ57/8*AO56</f>
        <v>4200</v>
      </c>
      <c r="AS56" s="130">
        <f>AQ56+AR56</f>
        <v>18200</v>
      </c>
    </row>
    <row r="57" spans="1:45" x14ac:dyDescent="0.25">
      <c r="A57" s="132"/>
      <c r="B57" s="124"/>
      <c r="C57" s="9"/>
      <c r="D57" s="9"/>
      <c r="E57" s="9"/>
      <c r="F57" s="9"/>
      <c r="G57" s="9"/>
      <c r="H57" s="9"/>
      <c r="I57" s="9"/>
      <c r="J57" s="9">
        <v>3</v>
      </c>
      <c r="K57" s="9">
        <v>4</v>
      </c>
      <c r="L57" s="9">
        <v>1</v>
      </c>
      <c r="M57" s="9"/>
      <c r="N57" s="9"/>
      <c r="O57" s="9">
        <v>4</v>
      </c>
      <c r="P57" s="9">
        <v>4</v>
      </c>
      <c r="Q57" s="9"/>
      <c r="R57" s="9"/>
      <c r="S57" s="9">
        <v>3</v>
      </c>
      <c r="T57" s="9"/>
      <c r="U57" s="9">
        <v>4</v>
      </c>
      <c r="V57" s="9"/>
      <c r="W57" s="9">
        <v>6</v>
      </c>
      <c r="X57" s="9">
        <v>6</v>
      </c>
      <c r="Y57" s="9">
        <v>5</v>
      </c>
      <c r="Z57" s="9">
        <v>2</v>
      </c>
      <c r="AA57" s="9"/>
      <c r="AB57" s="9"/>
      <c r="AC57" s="9">
        <v>2</v>
      </c>
      <c r="AD57" s="9"/>
      <c r="AE57" s="9"/>
      <c r="AF57" s="9">
        <v>4</v>
      </c>
      <c r="AG57" s="9"/>
      <c r="AH57" s="135"/>
      <c r="AI57" s="135"/>
      <c r="AJ57" s="15">
        <f>SUM(C57:AG57)</f>
        <v>48</v>
      </c>
      <c r="AK57" s="137"/>
      <c r="AL57" s="137"/>
      <c r="AM57" s="137"/>
      <c r="AN57" s="138"/>
      <c r="AO57" s="140"/>
      <c r="AP57" s="129"/>
      <c r="AQ57" s="129"/>
      <c r="AR57" s="129"/>
      <c r="AS57" s="130"/>
    </row>
    <row r="58" spans="1:45" x14ac:dyDescent="0.25">
      <c r="A58" s="133"/>
      <c r="B58" s="125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36"/>
      <c r="AI58" s="136"/>
      <c r="AJ58" s="15"/>
      <c r="AK58" s="137"/>
      <c r="AL58" s="137"/>
      <c r="AM58" s="137"/>
      <c r="AN58" s="138"/>
      <c r="AO58" s="141"/>
      <c r="AP58" s="129"/>
      <c r="AQ58" s="129"/>
      <c r="AR58" s="129"/>
      <c r="AS58" s="130"/>
    </row>
    <row r="59" spans="1:45" x14ac:dyDescent="0.25">
      <c r="A59" s="131">
        <v>19</v>
      </c>
      <c r="B59" s="123" t="s">
        <v>79</v>
      </c>
      <c r="C59" s="1"/>
      <c r="D59" s="1"/>
      <c r="E59" s="1"/>
      <c r="F59" s="1"/>
      <c r="G59" s="1"/>
      <c r="H59" s="1"/>
      <c r="I59" s="1" t="s">
        <v>41</v>
      </c>
      <c r="J59" s="1" t="s">
        <v>41</v>
      </c>
      <c r="K59" s="1" t="s">
        <v>41</v>
      </c>
      <c r="L59" s="1" t="s">
        <v>41</v>
      </c>
      <c r="M59" s="1" t="s">
        <v>41</v>
      </c>
      <c r="N59" s="1" t="s">
        <v>41</v>
      </c>
      <c r="O59" s="1" t="s">
        <v>41</v>
      </c>
      <c r="P59" s="1" t="s">
        <v>41</v>
      </c>
      <c r="Q59" s="1" t="s">
        <v>52</v>
      </c>
      <c r="R59" s="1" t="s">
        <v>52</v>
      </c>
      <c r="S59" s="1" t="s">
        <v>41</v>
      </c>
      <c r="T59" s="1" t="s">
        <v>41</v>
      </c>
      <c r="U59" s="1" t="s">
        <v>41</v>
      </c>
      <c r="V59" s="1" t="s">
        <v>41</v>
      </c>
      <c r="W59" s="1" t="s">
        <v>41</v>
      </c>
      <c r="X59" s="1" t="s">
        <v>41</v>
      </c>
      <c r="Y59" s="1" t="s">
        <v>41</v>
      </c>
      <c r="Z59" s="1" t="s">
        <v>41</v>
      </c>
      <c r="AA59" s="1" t="s">
        <v>41</v>
      </c>
      <c r="AB59" s="1" t="s">
        <v>41</v>
      </c>
      <c r="AC59" s="1" t="s">
        <v>41</v>
      </c>
      <c r="AD59" s="1" t="s">
        <v>41</v>
      </c>
      <c r="AE59" s="1" t="s">
        <v>41</v>
      </c>
      <c r="AF59" s="1" t="s">
        <v>41</v>
      </c>
      <c r="AG59" s="1" t="s">
        <v>41</v>
      </c>
      <c r="AH59" s="134">
        <f>COUNTIF(C59:AG59,"P")</f>
        <v>23</v>
      </c>
      <c r="AI59" s="134">
        <f>COUNTIF(D59:AH59,"P/2")</f>
        <v>0</v>
      </c>
      <c r="AJ59" s="15"/>
      <c r="AK59" s="137">
        <f>COUNTIF(C61:AG61,"BAAS")</f>
        <v>0</v>
      </c>
      <c r="AL59" s="137">
        <f>COUNTIF(D61:AH61,"RCML")</f>
        <v>0</v>
      </c>
      <c r="AM59" s="137">
        <f>COUNTIF(E61:AJ61,"PRE")</f>
        <v>0</v>
      </c>
      <c r="AN59" s="138">
        <f>COUNTIF(F61:AK61,"BAKR")</f>
        <v>0</v>
      </c>
      <c r="AO59" s="139">
        <v>700</v>
      </c>
      <c r="AP59" s="129">
        <f>AO59*AI59/2</f>
        <v>0</v>
      </c>
      <c r="AQ59" s="129">
        <f>AH59*AO59+AP59</f>
        <v>16100</v>
      </c>
      <c r="AR59" s="129">
        <f>AJ60/8*AO59</f>
        <v>6212.5</v>
      </c>
      <c r="AS59" s="130">
        <f>AQ59+AR59</f>
        <v>22312.5</v>
      </c>
    </row>
    <row r="60" spans="1:45" x14ac:dyDescent="0.25">
      <c r="A60" s="132"/>
      <c r="B60" s="124"/>
      <c r="C60" s="9"/>
      <c r="D60" s="9"/>
      <c r="E60" s="9"/>
      <c r="F60" s="9"/>
      <c r="G60" s="9"/>
      <c r="H60" s="9"/>
      <c r="I60" s="9"/>
      <c r="J60" s="9">
        <v>3</v>
      </c>
      <c r="K60" s="9">
        <v>4</v>
      </c>
      <c r="L60" s="9">
        <v>3</v>
      </c>
      <c r="M60" s="9">
        <v>2</v>
      </c>
      <c r="N60" s="9"/>
      <c r="O60" s="9">
        <v>4</v>
      </c>
      <c r="P60" s="9"/>
      <c r="Q60" s="9"/>
      <c r="R60" s="9"/>
      <c r="S60" s="9">
        <v>8</v>
      </c>
      <c r="T60" s="9">
        <v>2</v>
      </c>
      <c r="U60" s="9">
        <v>1</v>
      </c>
      <c r="V60" s="9"/>
      <c r="W60" s="9">
        <v>4</v>
      </c>
      <c r="X60" s="9">
        <v>5</v>
      </c>
      <c r="Y60" s="9">
        <v>5</v>
      </c>
      <c r="Z60" s="9">
        <v>4</v>
      </c>
      <c r="AA60" s="9"/>
      <c r="AB60" s="9">
        <v>3</v>
      </c>
      <c r="AC60" s="9">
        <v>4</v>
      </c>
      <c r="AD60" s="9">
        <v>3</v>
      </c>
      <c r="AE60" s="9">
        <v>4</v>
      </c>
      <c r="AF60" s="9">
        <v>7</v>
      </c>
      <c r="AG60" s="9">
        <v>5</v>
      </c>
      <c r="AH60" s="135"/>
      <c r="AI60" s="135"/>
      <c r="AJ60" s="15">
        <f>SUM(C60:AG60)</f>
        <v>71</v>
      </c>
      <c r="AK60" s="137"/>
      <c r="AL60" s="137"/>
      <c r="AM60" s="137"/>
      <c r="AN60" s="138"/>
      <c r="AO60" s="140"/>
      <c r="AP60" s="129"/>
      <c r="AQ60" s="129"/>
      <c r="AR60" s="129"/>
      <c r="AS60" s="130"/>
    </row>
    <row r="61" spans="1:45" x14ac:dyDescent="0.25">
      <c r="A61" s="133"/>
      <c r="B61" s="125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36"/>
      <c r="AI61" s="136"/>
      <c r="AJ61" s="15"/>
      <c r="AK61" s="137"/>
      <c r="AL61" s="137"/>
      <c r="AM61" s="137"/>
      <c r="AN61" s="138"/>
      <c r="AO61" s="141"/>
      <c r="AP61" s="129"/>
      <c r="AQ61" s="129"/>
      <c r="AR61" s="129"/>
      <c r="AS61" s="130"/>
    </row>
    <row r="62" spans="1:45" x14ac:dyDescent="0.25">
      <c r="A62" s="131">
        <v>20</v>
      </c>
      <c r="B62" s="123" t="s">
        <v>80</v>
      </c>
      <c r="C62" s="1" t="s">
        <v>41</v>
      </c>
      <c r="D62" s="1" t="s">
        <v>41</v>
      </c>
      <c r="E62" s="1" t="s">
        <v>41</v>
      </c>
      <c r="F62" s="1" t="s">
        <v>41</v>
      </c>
      <c r="G62" s="1" t="s">
        <v>41</v>
      </c>
      <c r="H62" s="1" t="s">
        <v>41</v>
      </c>
      <c r="I62" s="1" t="s">
        <v>41</v>
      </c>
      <c r="J62" s="1" t="s">
        <v>41</v>
      </c>
      <c r="K62" s="1" t="s">
        <v>41</v>
      </c>
      <c r="L62" s="1" t="s">
        <v>41</v>
      </c>
      <c r="M62" s="1" t="s">
        <v>41</v>
      </c>
      <c r="N62" s="1" t="s">
        <v>41</v>
      </c>
      <c r="O62" s="1" t="s">
        <v>41</v>
      </c>
      <c r="P62" s="1" t="s">
        <v>41</v>
      </c>
      <c r="Q62" s="1" t="s">
        <v>52</v>
      </c>
      <c r="R62" s="1" t="s">
        <v>52</v>
      </c>
      <c r="S62" s="1" t="s">
        <v>41</v>
      </c>
      <c r="T62" s="1" t="s">
        <v>41</v>
      </c>
      <c r="U62" s="1" t="s">
        <v>41</v>
      </c>
      <c r="V62" s="1" t="s">
        <v>41</v>
      </c>
      <c r="W62" s="1" t="s">
        <v>41</v>
      </c>
      <c r="X62" s="1" t="s">
        <v>41</v>
      </c>
      <c r="Y62" s="1" t="s">
        <v>56</v>
      </c>
      <c r="Z62" s="1" t="s">
        <v>41</v>
      </c>
      <c r="AA62" s="1" t="s">
        <v>41</v>
      </c>
      <c r="AB62" s="1" t="s">
        <v>41</v>
      </c>
      <c r="AC62" s="1" t="s">
        <v>41</v>
      </c>
      <c r="AD62" s="1" t="s">
        <v>41</v>
      </c>
      <c r="AE62" s="1" t="s">
        <v>41</v>
      </c>
      <c r="AF62" s="1" t="s">
        <v>41</v>
      </c>
      <c r="AG62" s="1" t="s">
        <v>41</v>
      </c>
      <c r="AH62" s="134">
        <f>COUNTIF(C62:AG62,"P")</f>
        <v>28</v>
      </c>
      <c r="AI62" s="134">
        <f>COUNTIF(D62:AH62,"P/2")</f>
        <v>1</v>
      </c>
      <c r="AJ62" s="15"/>
      <c r="AK62" s="137">
        <f>COUNTIF(C64:AG64,"BAAS")</f>
        <v>0</v>
      </c>
      <c r="AL62" s="137">
        <f>COUNTIF(D64:AH64,"RCML")</f>
        <v>0</v>
      </c>
      <c r="AM62" s="137">
        <f>COUNTIF(E64:AJ64,"PRE")</f>
        <v>0</v>
      </c>
      <c r="AN62" s="138">
        <f>COUNTIF(F64:AK64,"BAKR")</f>
        <v>0</v>
      </c>
      <c r="AO62" s="139">
        <v>700</v>
      </c>
      <c r="AP62" s="129">
        <f>AO62*AI62/2</f>
        <v>350</v>
      </c>
      <c r="AQ62" s="129">
        <f>AH62*AO62+AP62</f>
        <v>19950</v>
      </c>
      <c r="AR62" s="129">
        <f>AJ63/8*AO62</f>
        <v>6212.5</v>
      </c>
      <c r="AS62" s="130">
        <f>AQ62+AR62</f>
        <v>26162.5</v>
      </c>
    </row>
    <row r="63" spans="1:45" x14ac:dyDescent="0.25">
      <c r="A63" s="132"/>
      <c r="B63" s="124"/>
      <c r="C63" s="9">
        <v>6</v>
      </c>
      <c r="D63" s="9">
        <v>1</v>
      </c>
      <c r="E63" s="9">
        <v>3</v>
      </c>
      <c r="F63" s="9">
        <v>2</v>
      </c>
      <c r="G63" s="9">
        <v>1</v>
      </c>
      <c r="H63" s="9">
        <v>2</v>
      </c>
      <c r="I63" s="9">
        <v>2</v>
      </c>
      <c r="J63" s="9">
        <v>5</v>
      </c>
      <c r="K63" s="9">
        <v>4</v>
      </c>
      <c r="L63" s="9">
        <v>3</v>
      </c>
      <c r="M63" s="9"/>
      <c r="N63" s="9"/>
      <c r="O63" s="9">
        <v>4</v>
      </c>
      <c r="P63" s="9">
        <v>4</v>
      </c>
      <c r="Q63" s="9"/>
      <c r="R63" s="9"/>
      <c r="S63" s="9">
        <v>3</v>
      </c>
      <c r="T63" s="9"/>
      <c r="U63" s="9">
        <v>1</v>
      </c>
      <c r="V63" s="9"/>
      <c r="W63" s="9">
        <v>4</v>
      </c>
      <c r="X63" s="9"/>
      <c r="Y63" s="9"/>
      <c r="Z63" s="9">
        <v>4</v>
      </c>
      <c r="AA63" s="9"/>
      <c r="AB63" s="9">
        <v>1</v>
      </c>
      <c r="AC63" s="9">
        <v>4</v>
      </c>
      <c r="AD63" s="9">
        <v>4</v>
      </c>
      <c r="AE63" s="9">
        <v>6</v>
      </c>
      <c r="AF63" s="9">
        <v>4</v>
      </c>
      <c r="AG63" s="9">
        <v>3</v>
      </c>
      <c r="AH63" s="135"/>
      <c r="AI63" s="135"/>
      <c r="AJ63" s="15">
        <f>SUM(C63:AG63)</f>
        <v>71</v>
      </c>
      <c r="AK63" s="137"/>
      <c r="AL63" s="137"/>
      <c r="AM63" s="137"/>
      <c r="AN63" s="138"/>
      <c r="AO63" s="140"/>
      <c r="AP63" s="129"/>
      <c r="AQ63" s="129"/>
      <c r="AR63" s="129"/>
      <c r="AS63" s="130"/>
    </row>
    <row r="64" spans="1:45" x14ac:dyDescent="0.25">
      <c r="A64" s="133"/>
      <c r="B64" s="125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36"/>
      <c r="AI64" s="136"/>
      <c r="AJ64" s="15"/>
      <c r="AK64" s="137"/>
      <c r="AL64" s="137"/>
      <c r="AM64" s="137"/>
      <c r="AN64" s="138"/>
      <c r="AO64" s="141"/>
      <c r="AP64" s="129"/>
      <c r="AQ64" s="129"/>
      <c r="AR64" s="129"/>
      <c r="AS64" s="130"/>
    </row>
    <row r="65" spans="1:45" x14ac:dyDescent="0.25">
      <c r="A65" s="131">
        <v>21</v>
      </c>
      <c r="B65" s="123" t="s">
        <v>81</v>
      </c>
      <c r="C65" s="1" t="s">
        <v>41</v>
      </c>
      <c r="D65" s="1" t="s">
        <v>41</v>
      </c>
      <c r="E65" s="1" t="s">
        <v>56</v>
      </c>
      <c r="F65" s="1" t="s">
        <v>41</v>
      </c>
      <c r="G65" s="1" t="s">
        <v>52</v>
      </c>
      <c r="H65" s="1" t="s">
        <v>41</v>
      </c>
      <c r="I65" s="1" t="s">
        <v>41</v>
      </c>
      <c r="J65" s="1" t="s">
        <v>41</v>
      </c>
      <c r="K65" s="1" t="s">
        <v>41</v>
      </c>
      <c r="L65" s="1" t="s">
        <v>41</v>
      </c>
      <c r="M65" s="1" t="s">
        <v>41</v>
      </c>
      <c r="N65" s="1" t="s">
        <v>52</v>
      </c>
      <c r="O65" s="1" t="s">
        <v>41</v>
      </c>
      <c r="P65" s="1" t="s">
        <v>41</v>
      </c>
      <c r="Q65" s="1" t="s">
        <v>52</v>
      </c>
      <c r="R65" s="1" t="s">
        <v>52</v>
      </c>
      <c r="S65" s="1" t="s">
        <v>41</v>
      </c>
      <c r="T65" s="1" t="s">
        <v>41</v>
      </c>
      <c r="U65" s="1" t="s">
        <v>41</v>
      </c>
      <c r="V65" s="1" t="s">
        <v>41</v>
      </c>
      <c r="W65" s="1" t="s">
        <v>52</v>
      </c>
      <c r="X65" s="1" t="s">
        <v>41</v>
      </c>
      <c r="Y65" s="1" t="s">
        <v>41</v>
      </c>
      <c r="Z65" s="1" t="s">
        <v>52</v>
      </c>
      <c r="AA65" s="1" t="s">
        <v>41</v>
      </c>
      <c r="AB65" s="1" t="s">
        <v>41</v>
      </c>
      <c r="AC65" s="1" t="s">
        <v>41</v>
      </c>
      <c r="AD65" s="1" t="s">
        <v>41</v>
      </c>
      <c r="AE65" s="1" t="s">
        <v>41</v>
      </c>
      <c r="AF65" s="1" t="s">
        <v>41</v>
      </c>
      <c r="AG65" s="1" t="s">
        <v>41</v>
      </c>
      <c r="AH65" s="134">
        <f>COUNTIF(C65:AG65,"P")</f>
        <v>24</v>
      </c>
      <c r="AI65" s="134">
        <f>COUNTIF(D65:AH65,"P/2")</f>
        <v>1</v>
      </c>
      <c r="AJ65" s="15"/>
      <c r="AK65" s="137">
        <f>COUNTIF(C67:AG67,"BAAS")</f>
        <v>0</v>
      </c>
      <c r="AL65" s="137">
        <f>COUNTIF(D67:AH67,"RCML")</f>
        <v>0</v>
      </c>
      <c r="AM65" s="137">
        <f>COUNTIF(E67:AJ67,"PRE")</f>
        <v>0</v>
      </c>
      <c r="AN65" s="138">
        <f>COUNTIF(F67:AK67,"BAKR")</f>
        <v>0</v>
      </c>
      <c r="AO65" s="139">
        <v>700</v>
      </c>
      <c r="AP65" s="129">
        <f>AO65*AI65/2</f>
        <v>350</v>
      </c>
      <c r="AQ65" s="129">
        <f>AH65*AO65+AP65</f>
        <v>17150</v>
      </c>
      <c r="AR65" s="129">
        <f>AJ66/8*AO65</f>
        <v>3150</v>
      </c>
      <c r="AS65" s="130">
        <f>AQ65+AR65</f>
        <v>20300</v>
      </c>
    </row>
    <row r="66" spans="1:45" x14ac:dyDescent="0.25">
      <c r="A66" s="132"/>
      <c r="B66" s="124"/>
      <c r="C66" s="9">
        <v>4</v>
      </c>
      <c r="D66" s="9">
        <v>1</v>
      </c>
      <c r="E66" s="9"/>
      <c r="F66" s="9">
        <v>1</v>
      </c>
      <c r="G66" s="9"/>
      <c r="H66" s="9">
        <v>1</v>
      </c>
      <c r="I66" s="9">
        <v>2</v>
      </c>
      <c r="J66" s="9">
        <v>3</v>
      </c>
      <c r="K66" s="9">
        <v>3</v>
      </c>
      <c r="L66" s="9">
        <v>3</v>
      </c>
      <c r="M66" s="9"/>
      <c r="N66" s="9"/>
      <c r="O66" s="9">
        <v>4</v>
      </c>
      <c r="P66" s="9"/>
      <c r="Q66" s="9"/>
      <c r="R66" s="9"/>
      <c r="S66" s="9">
        <v>3</v>
      </c>
      <c r="T66" s="9"/>
      <c r="U66" s="9">
        <v>2</v>
      </c>
      <c r="V66" s="9"/>
      <c r="W66" s="9"/>
      <c r="X66" s="9"/>
      <c r="Y66" s="9"/>
      <c r="Z66" s="9"/>
      <c r="AA66" s="9"/>
      <c r="AB66" s="9">
        <v>1</v>
      </c>
      <c r="AC66" s="9">
        <v>2</v>
      </c>
      <c r="AD66" s="9">
        <v>1</v>
      </c>
      <c r="AE66" s="9">
        <v>2</v>
      </c>
      <c r="AF66" s="9">
        <v>3</v>
      </c>
      <c r="AG66" s="9"/>
      <c r="AH66" s="135"/>
      <c r="AI66" s="135"/>
      <c r="AJ66" s="15">
        <f>SUM(C66:AG66)</f>
        <v>36</v>
      </c>
      <c r="AK66" s="137"/>
      <c r="AL66" s="137"/>
      <c r="AM66" s="137"/>
      <c r="AN66" s="138"/>
      <c r="AO66" s="140"/>
      <c r="AP66" s="129"/>
      <c r="AQ66" s="129"/>
      <c r="AR66" s="129"/>
      <c r="AS66" s="130"/>
    </row>
    <row r="67" spans="1:45" x14ac:dyDescent="0.25">
      <c r="A67" s="133"/>
      <c r="B67" s="125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36"/>
      <c r="AI67" s="136"/>
      <c r="AJ67" s="15"/>
      <c r="AK67" s="137"/>
      <c r="AL67" s="137"/>
      <c r="AM67" s="137"/>
      <c r="AN67" s="138"/>
      <c r="AO67" s="141"/>
      <c r="AP67" s="129"/>
      <c r="AQ67" s="129"/>
      <c r="AR67" s="129"/>
      <c r="AS67" s="130"/>
    </row>
    <row r="68" spans="1:45" ht="15.75" thickBot="1" x14ac:dyDescent="0.3">
      <c r="A68" s="19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1">
        <f t="shared" ref="AH68:AN68" si="0">SUM(AH5:AH55)</f>
        <v>404</v>
      </c>
      <c r="AI68" s="21">
        <f t="shared" si="0"/>
        <v>3</v>
      </c>
      <c r="AJ68" s="22">
        <f t="shared" si="0"/>
        <v>1154</v>
      </c>
      <c r="AK68" s="21">
        <f t="shared" si="0"/>
        <v>0</v>
      </c>
      <c r="AL68" s="21">
        <f t="shared" si="0"/>
        <v>0</v>
      </c>
      <c r="AM68" s="21">
        <f t="shared" si="0"/>
        <v>0</v>
      </c>
      <c r="AN68" s="21">
        <f t="shared" si="0"/>
        <v>0</v>
      </c>
      <c r="AO68" s="21"/>
      <c r="AP68" s="21">
        <f>SUM(AP5:AP67)</f>
        <v>1800</v>
      </c>
      <c r="AQ68" s="21">
        <f>SUM(AQ5:AQ67)</f>
        <v>346100</v>
      </c>
      <c r="AR68" s="21">
        <f>SUM(AR5:AR67)</f>
        <v>118437.5</v>
      </c>
      <c r="AS68" s="23">
        <f>SUM(AS5:AS67)</f>
        <v>464537.5</v>
      </c>
    </row>
    <row r="69" spans="1:45" hidden="1" x14ac:dyDescent="0.25">
      <c r="B69" t="s">
        <v>49</v>
      </c>
      <c r="C69">
        <f t="shared" ref="C69:AG69" si="1">COUNTIF(C5:C55,"P")</f>
        <v>15</v>
      </c>
      <c r="D69">
        <f t="shared" si="1"/>
        <v>15</v>
      </c>
      <c r="E69">
        <f t="shared" si="1"/>
        <v>15</v>
      </c>
      <c r="F69">
        <f t="shared" si="1"/>
        <v>17</v>
      </c>
      <c r="G69">
        <f t="shared" si="1"/>
        <v>15</v>
      </c>
      <c r="H69">
        <f t="shared" si="1"/>
        <v>16</v>
      </c>
      <c r="I69">
        <f t="shared" si="1"/>
        <v>15</v>
      </c>
      <c r="J69">
        <f t="shared" si="1"/>
        <v>15</v>
      </c>
      <c r="K69">
        <f t="shared" si="1"/>
        <v>16</v>
      </c>
      <c r="L69">
        <f t="shared" si="1"/>
        <v>16</v>
      </c>
      <c r="M69">
        <f t="shared" si="1"/>
        <v>16</v>
      </c>
      <c r="N69">
        <f t="shared" si="1"/>
        <v>12</v>
      </c>
      <c r="O69">
        <f t="shared" si="1"/>
        <v>15</v>
      </c>
      <c r="P69">
        <f t="shared" si="1"/>
        <v>15</v>
      </c>
      <c r="Q69">
        <f t="shared" si="1"/>
        <v>0</v>
      </c>
      <c r="R69">
        <f t="shared" si="1"/>
        <v>0</v>
      </c>
      <c r="S69">
        <f t="shared" si="1"/>
        <v>14</v>
      </c>
      <c r="T69">
        <f t="shared" si="1"/>
        <v>14</v>
      </c>
      <c r="U69">
        <f t="shared" si="1"/>
        <v>13</v>
      </c>
      <c r="V69">
        <f t="shared" si="1"/>
        <v>11</v>
      </c>
      <c r="W69">
        <f t="shared" si="1"/>
        <v>11</v>
      </c>
      <c r="X69">
        <f t="shared" si="1"/>
        <v>14</v>
      </c>
      <c r="Y69">
        <f t="shared" si="1"/>
        <v>14</v>
      </c>
      <c r="Z69">
        <f t="shared" si="1"/>
        <v>13</v>
      </c>
      <c r="AA69">
        <f t="shared" si="1"/>
        <v>14</v>
      </c>
      <c r="AB69">
        <f t="shared" si="1"/>
        <v>12</v>
      </c>
      <c r="AC69">
        <f t="shared" si="1"/>
        <v>12</v>
      </c>
      <c r="AD69">
        <f t="shared" si="1"/>
        <v>12</v>
      </c>
      <c r="AE69">
        <f t="shared" si="1"/>
        <v>11</v>
      </c>
      <c r="AF69">
        <f t="shared" si="1"/>
        <v>13</v>
      </c>
      <c r="AG69">
        <f t="shared" si="1"/>
        <v>13</v>
      </c>
      <c r="AH69">
        <f t="shared" ref="AH69:AH74" si="2">SUM(C69:AG69)</f>
        <v>404</v>
      </c>
    </row>
    <row r="70" spans="1:45" hidden="1" x14ac:dyDescent="0.25">
      <c r="B70" t="s">
        <v>51</v>
      </c>
      <c r="C70" s="12">
        <f t="shared" ref="C70:AG70" si="3">C6+C9+C12+C15+C18+C21+C24+C27+C30+C33+C36+C39+C42+C45+C48+C51+C54</f>
        <v>77</v>
      </c>
      <c r="D70" s="12">
        <f t="shared" si="3"/>
        <v>21</v>
      </c>
      <c r="E70" s="12">
        <f t="shared" si="3"/>
        <v>45</v>
      </c>
      <c r="F70" s="12">
        <f t="shared" si="3"/>
        <v>57</v>
      </c>
      <c r="G70" s="12">
        <f t="shared" si="3"/>
        <v>48</v>
      </c>
      <c r="H70" s="12">
        <f t="shared" si="3"/>
        <v>21</v>
      </c>
      <c r="I70" s="12">
        <f t="shared" si="3"/>
        <v>38</v>
      </c>
      <c r="J70" s="12">
        <f t="shared" si="3"/>
        <v>63</v>
      </c>
      <c r="K70" s="12">
        <f t="shared" si="3"/>
        <v>62</v>
      </c>
      <c r="L70" s="12">
        <f t="shared" si="3"/>
        <v>44</v>
      </c>
      <c r="M70" s="12">
        <f t="shared" si="3"/>
        <v>16</v>
      </c>
      <c r="N70" s="12">
        <f t="shared" si="3"/>
        <v>0</v>
      </c>
      <c r="O70" s="12">
        <f t="shared" si="3"/>
        <v>57</v>
      </c>
      <c r="P70" s="12">
        <f t="shared" si="3"/>
        <v>56</v>
      </c>
      <c r="Q70" s="12">
        <f t="shared" si="3"/>
        <v>0</v>
      </c>
      <c r="R70" s="12">
        <f t="shared" si="3"/>
        <v>0</v>
      </c>
      <c r="S70" s="12">
        <f t="shared" si="3"/>
        <v>60</v>
      </c>
      <c r="T70" s="12">
        <f t="shared" si="3"/>
        <v>8</v>
      </c>
      <c r="U70" s="12">
        <f t="shared" si="3"/>
        <v>32</v>
      </c>
      <c r="V70" s="12">
        <f t="shared" si="3"/>
        <v>25</v>
      </c>
      <c r="W70" s="12">
        <f t="shared" si="3"/>
        <v>51</v>
      </c>
      <c r="X70" s="12">
        <f t="shared" si="3"/>
        <v>51</v>
      </c>
      <c r="Y70" s="12">
        <f t="shared" si="3"/>
        <v>44</v>
      </c>
      <c r="Z70" s="12">
        <f t="shared" si="3"/>
        <v>51</v>
      </c>
      <c r="AA70" s="12">
        <f t="shared" si="3"/>
        <v>4</v>
      </c>
      <c r="AB70" s="12">
        <f t="shared" si="3"/>
        <v>10</v>
      </c>
      <c r="AC70" s="12">
        <f t="shared" si="3"/>
        <v>35</v>
      </c>
      <c r="AD70" s="12">
        <f t="shared" si="3"/>
        <v>33</v>
      </c>
      <c r="AE70" s="12">
        <f t="shared" si="3"/>
        <v>40</v>
      </c>
      <c r="AF70" s="12">
        <f t="shared" si="3"/>
        <v>56</v>
      </c>
      <c r="AG70" s="12">
        <f t="shared" si="3"/>
        <v>49</v>
      </c>
      <c r="AH70">
        <f t="shared" si="2"/>
        <v>1154</v>
      </c>
    </row>
    <row r="71" spans="1:45" hidden="1" x14ac:dyDescent="0.25">
      <c r="B71" t="s">
        <v>42</v>
      </c>
      <c r="C71">
        <f t="shared" ref="C71:AG71" si="4">COUNTIF(C7:C69,"BAAS")</f>
        <v>0</v>
      </c>
      <c r="D71">
        <f t="shared" si="4"/>
        <v>0</v>
      </c>
      <c r="E71">
        <f t="shared" si="4"/>
        <v>0</v>
      </c>
      <c r="F71">
        <f t="shared" si="4"/>
        <v>0</v>
      </c>
      <c r="G71">
        <f t="shared" si="4"/>
        <v>0</v>
      </c>
      <c r="H71">
        <f t="shared" si="4"/>
        <v>0</v>
      </c>
      <c r="I71">
        <f t="shared" si="4"/>
        <v>0</v>
      </c>
      <c r="J71">
        <f t="shared" si="4"/>
        <v>0</v>
      </c>
      <c r="K71">
        <f t="shared" si="4"/>
        <v>0</v>
      </c>
      <c r="L71">
        <f t="shared" si="4"/>
        <v>0</v>
      </c>
      <c r="M71">
        <f t="shared" si="4"/>
        <v>0</v>
      </c>
      <c r="N71">
        <f t="shared" si="4"/>
        <v>0</v>
      </c>
      <c r="O71">
        <f t="shared" si="4"/>
        <v>0</v>
      </c>
      <c r="P71">
        <f t="shared" si="4"/>
        <v>0</v>
      </c>
      <c r="Q71">
        <f t="shared" si="4"/>
        <v>0</v>
      </c>
      <c r="R71">
        <f t="shared" si="4"/>
        <v>0</v>
      </c>
      <c r="S71">
        <f t="shared" si="4"/>
        <v>0</v>
      </c>
      <c r="T71">
        <f t="shared" si="4"/>
        <v>0</v>
      </c>
      <c r="U71">
        <f t="shared" si="4"/>
        <v>0</v>
      </c>
      <c r="V71">
        <f t="shared" si="4"/>
        <v>0</v>
      </c>
      <c r="W71">
        <f t="shared" si="4"/>
        <v>0</v>
      </c>
      <c r="X71">
        <f t="shared" si="4"/>
        <v>0</v>
      </c>
      <c r="Y71">
        <f t="shared" si="4"/>
        <v>0</v>
      </c>
      <c r="Z71">
        <f t="shared" si="4"/>
        <v>0</v>
      </c>
      <c r="AA71">
        <f t="shared" si="4"/>
        <v>0</v>
      </c>
      <c r="AB71">
        <f t="shared" si="4"/>
        <v>0</v>
      </c>
      <c r="AC71">
        <f t="shared" si="4"/>
        <v>0</v>
      </c>
      <c r="AD71">
        <f t="shared" si="4"/>
        <v>0</v>
      </c>
      <c r="AE71">
        <f t="shared" si="4"/>
        <v>0</v>
      </c>
      <c r="AF71">
        <f t="shared" si="4"/>
        <v>0</v>
      </c>
      <c r="AG71">
        <f t="shared" si="4"/>
        <v>0</v>
      </c>
      <c r="AH71">
        <f t="shared" si="2"/>
        <v>0</v>
      </c>
    </row>
    <row r="72" spans="1:45" hidden="1" x14ac:dyDescent="0.25">
      <c r="B72" t="s">
        <v>43</v>
      </c>
      <c r="C72">
        <f t="shared" ref="C72:AG72" si="5">COUNTIF(C5:C55,"RCML")</f>
        <v>0</v>
      </c>
      <c r="D72">
        <f t="shared" si="5"/>
        <v>0</v>
      </c>
      <c r="E72">
        <f t="shared" si="5"/>
        <v>0</v>
      </c>
      <c r="F72">
        <f t="shared" si="5"/>
        <v>0</v>
      </c>
      <c r="G72">
        <f t="shared" si="5"/>
        <v>0</v>
      </c>
      <c r="H72">
        <f t="shared" si="5"/>
        <v>0</v>
      </c>
      <c r="I72">
        <f t="shared" si="5"/>
        <v>0</v>
      </c>
      <c r="J72">
        <f t="shared" si="5"/>
        <v>0</v>
      </c>
      <c r="K72">
        <f t="shared" si="5"/>
        <v>0</v>
      </c>
      <c r="L72">
        <f t="shared" si="5"/>
        <v>0</v>
      </c>
      <c r="M72">
        <f t="shared" si="5"/>
        <v>0</v>
      </c>
      <c r="N72">
        <f t="shared" si="5"/>
        <v>0</v>
      </c>
      <c r="O72">
        <f t="shared" si="5"/>
        <v>0</v>
      </c>
      <c r="P72">
        <f t="shared" si="5"/>
        <v>0</v>
      </c>
      <c r="Q72">
        <f t="shared" si="5"/>
        <v>0</v>
      </c>
      <c r="R72">
        <f t="shared" si="5"/>
        <v>0</v>
      </c>
      <c r="S72">
        <f t="shared" si="5"/>
        <v>0</v>
      </c>
      <c r="T72">
        <f t="shared" si="5"/>
        <v>0</v>
      </c>
      <c r="U72">
        <f t="shared" si="5"/>
        <v>0</v>
      </c>
      <c r="V72">
        <f t="shared" si="5"/>
        <v>0</v>
      </c>
      <c r="W72">
        <f t="shared" si="5"/>
        <v>0</v>
      </c>
      <c r="X72">
        <f t="shared" si="5"/>
        <v>0</v>
      </c>
      <c r="Y72">
        <f t="shared" si="5"/>
        <v>0</v>
      </c>
      <c r="Z72">
        <f t="shared" si="5"/>
        <v>0</v>
      </c>
      <c r="AA72">
        <f t="shared" si="5"/>
        <v>0</v>
      </c>
      <c r="AB72">
        <f t="shared" si="5"/>
        <v>0</v>
      </c>
      <c r="AC72">
        <f t="shared" si="5"/>
        <v>0</v>
      </c>
      <c r="AD72">
        <f t="shared" si="5"/>
        <v>0</v>
      </c>
      <c r="AE72">
        <f t="shared" si="5"/>
        <v>0</v>
      </c>
      <c r="AF72">
        <f t="shared" si="5"/>
        <v>0</v>
      </c>
      <c r="AG72">
        <f t="shared" si="5"/>
        <v>0</v>
      </c>
      <c r="AH72">
        <f t="shared" si="2"/>
        <v>0</v>
      </c>
    </row>
    <row r="73" spans="1:45" hidden="1" x14ac:dyDescent="0.25">
      <c r="B73" t="s">
        <v>44</v>
      </c>
      <c r="C73">
        <f t="shared" ref="C73:AG73" si="6">COUNTIF(C6:C68,"PRE")</f>
        <v>0</v>
      </c>
      <c r="D73">
        <f t="shared" si="6"/>
        <v>0</v>
      </c>
      <c r="E73">
        <f t="shared" si="6"/>
        <v>0</v>
      </c>
      <c r="F73">
        <f t="shared" si="6"/>
        <v>0</v>
      </c>
      <c r="G73">
        <f t="shared" si="6"/>
        <v>0</v>
      </c>
      <c r="H73">
        <f t="shared" si="6"/>
        <v>0</v>
      </c>
      <c r="I73">
        <f t="shared" si="6"/>
        <v>0</v>
      </c>
      <c r="J73">
        <f t="shared" si="6"/>
        <v>0</v>
      </c>
      <c r="K73">
        <f t="shared" si="6"/>
        <v>0</v>
      </c>
      <c r="L73">
        <f t="shared" si="6"/>
        <v>0</v>
      </c>
      <c r="M73">
        <f t="shared" si="6"/>
        <v>0</v>
      </c>
      <c r="N73">
        <f t="shared" si="6"/>
        <v>0</v>
      </c>
      <c r="O73">
        <f t="shared" si="6"/>
        <v>0</v>
      </c>
      <c r="P73">
        <f t="shared" si="6"/>
        <v>0</v>
      </c>
      <c r="Q73">
        <f t="shared" si="6"/>
        <v>0</v>
      </c>
      <c r="R73">
        <f t="shared" si="6"/>
        <v>0</v>
      </c>
      <c r="S73">
        <f t="shared" si="6"/>
        <v>0</v>
      </c>
      <c r="T73">
        <f t="shared" si="6"/>
        <v>0</v>
      </c>
      <c r="U73">
        <f t="shared" si="6"/>
        <v>0</v>
      </c>
      <c r="V73">
        <f t="shared" si="6"/>
        <v>0</v>
      </c>
      <c r="W73">
        <f t="shared" si="6"/>
        <v>0</v>
      </c>
      <c r="X73">
        <f t="shared" si="6"/>
        <v>0</v>
      </c>
      <c r="Y73">
        <f t="shared" si="6"/>
        <v>0</v>
      </c>
      <c r="Z73">
        <f t="shared" si="6"/>
        <v>0</v>
      </c>
      <c r="AA73">
        <f t="shared" si="6"/>
        <v>0</v>
      </c>
      <c r="AB73">
        <f t="shared" si="6"/>
        <v>0</v>
      </c>
      <c r="AC73">
        <f t="shared" si="6"/>
        <v>0</v>
      </c>
      <c r="AD73">
        <f t="shared" si="6"/>
        <v>0</v>
      </c>
      <c r="AE73">
        <f t="shared" si="6"/>
        <v>0</v>
      </c>
      <c r="AF73">
        <f t="shared" si="6"/>
        <v>0</v>
      </c>
      <c r="AG73">
        <f t="shared" si="6"/>
        <v>0</v>
      </c>
      <c r="AH73">
        <f t="shared" si="2"/>
        <v>0</v>
      </c>
    </row>
    <row r="74" spans="1:45" hidden="1" x14ac:dyDescent="0.25">
      <c r="B74" t="s">
        <v>50</v>
      </c>
      <c r="C74">
        <f>COUNTIF(C7:C69,"BAKR")</f>
        <v>0</v>
      </c>
      <c r="D74">
        <f t="shared" ref="D74:AG74" si="7">COUNTIF(D7:D69,"BAKR")</f>
        <v>0</v>
      </c>
      <c r="E74">
        <f t="shared" si="7"/>
        <v>0</v>
      </c>
      <c r="F74">
        <f t="shared" si="7"/>
        <v>0</v>
      </c>
      <c r="G74">
        <f t="shared" si="7"/>
        <v>0</v>
      </c>
      <c r="H74">
        <f t="shared" si="7"/>
        <v>0</v>
      </c>
      <c r="I74">
        <f t="shared" si="7"/>
        <v>0</v>
      </c>
      <c r="J74">
        <f t="shared" si="7"/>
        <v>0</v>
      </c>
      <c r="K74">
        <f t="shared" si="7"/>
        <v>0</v>
      </c>
      <c r="L74">
        <f t="shared" si="7"/>
        <v>0</v>
      </c>
      <c r="M74">
        <f t="shared" si="7"/>
        <v>0</v>
      </c>
      <c r="N74">
        <f t="shared" si="7"/>
        <v>0</v>
      </c>
      <c r="O74">
        <f t="shared" si="7"/>
        <v>0</v>
      </c>
      <c r="P74">
        <f t="shared" si="7"/>
        <v>0</v>
      </c>
      <c r="Q74">
        <f t="shared" si="7"/>
        <v>0</v>
      </c>
      <c r="R74">
        <f t="shared" si="7"/>
        <v>0</v>
      </c>
      <c r="S74">
        <f t="shared" si="7"/>
        <v>0</v>
      </c>
      <c r="T74">
        <f t="shared" si="7"/>
        <v>0</v>
      </c>
      <c r="U74">
        <f t="shared" si="7"/>
        <v>0</v>
      </c>
      <c r="V74">
        <f t="shared" si="7"/>
        <v>0</v>
      </c>
      <c r="W74">
        <f t="shared" si="7"/>
        <v>0</v>
      </c>
      <c r="X74">
        <f t="shared" si="7"/>
        <v>0</v>
      </c>
      <c r="Y74">
        <f t="shared" si="7"/>
        <v>0</v>
      </c>
      <c r="Z74">
        <f t="shared" si="7"/>
        <v>0</v>
      </c>
      <c r="AA74">
        <f t="shared" si="7"/>
        <v>0</v>
      </c>
      <c r="AB74">
        <f t="shared" si="7"/>
        <v>0</v>
      </c>
      <c r="AC74">
        <f t="shared" si="7"/>
        <v>0</v>
      </c>
      <c r="AD74">
        <f t="shared" si="7"/>
        <v>0</v>
      </c>
      <c r="AE74">
        <f t="shared" si="7"/>
        <v>0</v>
      </c>
      <c r="AF74">
        <f t="shared" si="7"/>
        <v>0</v>
      </c>
      <c r="AG74">
        <f t="shared" si="7"/>
        <v>0</v>
      </c>
      <c r="AH74">
        <f t="shared" si="2"/>
        <v>0</v>
      </c>
    </row>
    <row r="78" spans="1:45" x14ac:dyDescent="0.25">
      <c r="B78" s="26" t="s">
        <v>58</v>
      </c>
      <c r="C78" s="26">
        <v>464537.5</v>
      </c>
      <c r="D78" s="26"/>
    </row>
    <row r="79" spans="1:45" x14ac:dyDescent="0.25">
      <c r="B79" s="26" t="s">
        <v>82</v>
      </c>
      <c r="C79" s="26">
        <v>110000</v>
      </c>
      <c r="D79" s="26"/>
    </row>
    <row r="80" spans="1:45" x14ac:dyDescent="0.25">
      <c r="B80" s="26"/>
      <c r="C80" s="26"/>
      <c r="D80" s="26"/>
    </row>
    <row r="81" spans="2:4" customFormat="1" x14ac:dyDescent="0.25">
      <c r="B81" s="28" t="s">
        <v>83</v>
      </c>
      <c r="C81" s="26"/>
      <c r="D81" s="26">
        <v>8000</v>
      </c>
    </row>
    <row r="82" spans="2:4" customFormat="1" x14ac:dyDescent="0.25">
      <c r="B82" s="26"/>
      <c r="C82" s="26">
        <f>C78-C79</f>
        <v>354537.5</v>
      </c>
      <c r="D82" s="26">
        <v>8000</v>
      </c>
    </row>
    <row r="83" spans="2:4" customFormat="1" x14ac:dyDescent="0.25">
      <c r="B83" s="26"/>
      <c r="C83" s="26"/>
      <c r="D83" s="26"/>
    </row>
    <row r="84" spans="2:4" customFormat="1" x14ac:dyDescent="0.25">
      <c r="B84" s="26" t="s">
        <v>84</v>
      </c>
      <c r="C84" s="26">
        <f>C82+D82</f>
        <v>362537.5</v>
      </c>
      <c r="D84" s="26"/>
    </row>
  </sheetData>
  <mergeCells count="293">
    <mergeCell ref="AP53:AP55"/>
    <mergeCell ref="AQ53:AQ55"/>
    <mergeCell ref="AR53:AR55"/>
    <mergeCell ref="AP50:AP52"/>
    <mergeCell ref="AQ50:AQ52"/>
    <mergeCell ref="AR50:AR52"/>
    <mergeCell ref="AS50:AS52"/>
    <mergeCell ref="A53:A55"/>
    <mergeCell ref="AH53:AH55"/>
    <mergeCell ref="AI53:AI55"/>
    <mergeCell ref="AK53:AK55"/>
    <mergeCell ref="AL53:AL55"/>
    <mergeCell ref="AS53:AS55"/>
    <mergeCell ref="AM53:AM55"/>
    <mergeCell ref="AN53:AN55"/>
    <mergeCell ref="AO53:AO55"/>
    <mergeCell ref="A50:A52"/>
    <mergeCell ref="AH50:AH52"/>
    <mergeCell ref="AI50:AI52"/>
    <mergeCell ref="AK50:AK52"/>
    <mergeCell ref="AL50:AL52"/>
    <mergeCell ref="AM50:AM52"/>
    <mergeCell ref="AN50:AN52"/>
    <mergeCell ref="AO50:AO52"/>
    <mergeCell ref="AM47:AM49"/>
    <mergeCell ref="AN47:AN49"/>
    <mergeCell ref="AO47:AO49"/>
    <mergeCell ref="AP44:AP46"/>
    <mergeCell ref="AQ44:AQ46"/>
    <mergeCell ref="AR44:AR46"/>
    <mergeCell ref="AS44:AS46"/>
    <mergeCell ref="A47:A49"/>
    <mergeCell ref="AH47:AH49"/>
    <mergeCell ref="AI47:AI49"/>
    <mergeCell ref="AK47:AK49"/>
    <mergeCell ref="AL47:AL49"/>
    <mergeCell ref="A44:A46"/>
    <mergeCell ref="AH44:AH46"/>
    <mergeCell ref="AI44:AI46"/>
    <mergeCell ref="AK44:AK46"/>
    <mergeCell ref="AL44:AL46"/>
    <mergeCell ref="AM44:AM46"/>
    <mergeCell ref="AN44:AN46"/>
    <mergeCell ref="AO44:AO46"/>
    <mergeCell ref="AS47:AS49"/>
    <mergeCell ref="AP47:AP49"/>
    <mergeCell ref="AQ47:AQ49"/>
    <mergeCell ref="AR47:AR49"/>
    <mergeCell ref="AR38:AR40"/>
    <mergeCell ref="AS38:AS40"/>
    <mergeCell ref="A41:A43"/>
    <mergeCell ref="AH41:AH43"/>
    <mergeCell ref="AI41:AI43"/>
    <mergeCell ref="AK41:AK43"/>
    <mergeCell ref="AL41:AL43"/>
    <mergeCell ref="AS41:AS43"/>
    <mergeCell ref="AM41:AM43"/>
    <mergeCell ref="AN41:AN43"/>
    <mergeCell ref="AO41:AO43"/>
    <mergeCell ref="AP41:AP43"/>
    <mergeCell ref="AQ41:AQ43"/>
    <mergeCell ref="AR41:AR43"/>
    <mergeCell ref="A38:A40"/>
    <mergeCell ref="AH38:AH40"/>
    <mergeCell ref="AI38:AI40"/>
    <mergeCell ref="AK38:AK40"/>
    <mergeCell ref="AL38:AL40"/>
    <mergeCell ref="AM38:AM40"/>
    <mergeCell ref="AN38:AN40"/>
    <mergeCell ref="AO38:AO40"/>
    <mergeCell ref="AP38:AP40"/>
    <mergeCell ref="AQ38:AQ40"/>
    <mergeCell ref="AR29:AR31"/>
    <mergeCell ref="A35:A37"/>
    <mergeCell ref="AH35:AH37"/>
    <mergeCell ref="AI35:AI37"/>
    <mergeCell ref="AK35:AK37"/>
    <mergeCell ref="AL35:AL37"/>
    <mergeCell ref="AS35:AS37"/>
    <mergeCell ref="AM35:AM37"/>
    <mergeCell ref="AN35:AN37"/>
    <mergeCell ref="AO35:AO37"/>
    <mergeCell ref="AP35:AP37"/>
    <mergeCell ref="AQ35:AQ37"/>
    <mergeCell ref="AR35:AR37"/>
    <mergeCell ref="B29:B31"/>
    <mergeCell ref="AS20:AS22"/>
    <mergeCell ref="AP32:AP34"/>
    <mergeCell ref="AQ32:AQ34"/>
    <mergeCell ref="AR32:AR34"/>
    <mergeCell ref="A29:A31"/>
    <mergeCell ref="AH29:AH31"/>
    <mergeCell ref="AI29:AI31"/>
    <mergeCell ref="AK29:AK31"/>
    <mergeCell ref="AL29:AL31"/>
    <mergeCell ref="AS32:AS34"/>
    <mergeCell ref="A32:A34"/>
    <mergeCell ref="AH32:AH34"/>
    <mergeCell ref="AI32:AI34"/>
    <mergeCell ref="AK32:AK34"/>
    <mergeCell ref="AL32:AL34"/>
    <mergeCell ref="AM32:AM34"/>
    <mergeCell ref="AN32:AN34"/>
    <mergeCell ref="AO32:AO34"/>
    <mergeCell ref="AS29:AS31"/>
    <mergeCell ref="AM29:AM31"/>
    <mergeCell ref="AN29:AN31"/>
    <mergeCell ref="AO29:AO31"/>
    <mergeCell ref="AP29:AP31"/>
    <mergeCell ref="AQ29:AQ31"/>
    <mergeCell ref="AS23:AS25"/>
    <mergeCell ref="AM23:AM25"/>
    <mergeCell ref="AN23:AN25"/>
    <mergeCell ref="AO23:AO25"/>
    <mergeCell ref="AP23:AP25"/>
    <mergeCell ref="AQ23:AQ25"/>
    <mergeCell ref="AR23:AR25"/>
    <mergeCell ref="AL26:AL28"/>
    <mergeCell ref="AM26:AM28"/>
    <mergeCell ref="AN26:AN28"/>
    <mergeCell ref="AO26:AO28"/>
    <mergeCell ref="AP26:AP28"/>
    <mergeCell ref="AQ26:AQ28"/>
    <mergeCell ref="AR26:AR28"/>
    <mergeCell ref="AS26:AS28"/>
    <mergeCell ref="A20:A22"/>
    <mergeCell ref="AH20:AH22"/>
    <mergeCell ref="AI20:AI22"/>
    <mergeCell ref="AK20:AK22"/>
    <mergeCell ref="AL20:AL22"/>
    <mergeCell ref="AP20:AP22"/>
    <mergeCell ref="A26:A28"/>
    <mergeCell ref="AH26:AH28"/>
    <mergeCell ref="AI26:AI28"/>
    <mergeCell ref="AK26:AK28"/>
    <mergeCell ref="B23:B25"/>
    <mergeCell ref="B26:B28"/>
    <mergeCell ref="A23:A25"/>
    <mergeCell ref="AH23:AH25"/>
    <mergeCell ref="AI23:AI25"/>
    <mergeCell ref="AK23:AK25"/>
    <mergeCell ref="AL23:AL25"/>
    <mergeCell ref="AS8:AS10"/>
    <mergeCell ref="AQ8:AQ10"/>
    <mergeCell ref="AQ20:AQ22"/>
    <mergeCell ref="AR20:AR22"/>
    <mergeCell ref="AM20:AM22"/>
    <mergeCell ref="AN20:AN22"/>
    <mergeCell ref="AO20:AO22"/>
    <mergeCell ref="A17:A19"/>
    <mergeCell ref="AH17:AH19"/>
    <mergeCell ref="AI17:AI19"/>
    <mergeCell ref="AK17:AK19"/>
    <mergeCell ref="AL17:AL19"/>
    <mergeCell ref="B17:B19"/>
    <mergeCell ref="B20:B22"/>
    <mergeCell ref="AL14:AL16"/>
    <mergeCell ref="AM14:AM16"/>
    <mergeCell ref="AN14:AN16"/>
    <mergeCell ref="AO14:AO16"/>
    <mergeCell ref="AS11:AS13"/>
    <mergeCell ref="AM11:AM13"/>
    <mergeCell ref="AN11:AN13"/>
    <mergeCell ref="AO11:AO13"/>
    <mergeCell ref="AP11:AP13"/>
    <mergeCell ref="AQ11:AQ13"/>
    <mergeCell ref="AR11:AR13"/>
    <mergeCell ref="AS17:AS19"/>
    <mergeCell ref="AM17:AM19"/>
    <mergeCell ref="AN17:AN19"/>
    <mergeCell ref="AO17:AO19"/>
    <mergeCell ref="AP17:AP19"/>
    <mergeCell ref="AQ17:AQ19"/>
    <mergeCell ref="AR17:AR19"/>
    <mergeCell ref="AP14:AP16"/>
    <mergeCell ref="AQ14:AQ16"/>
    <mergeCell ref="AR14:AR16"/>
    <mergeCell ref="AS14:AS16"/>
    <mergeCell ref="A14:A16"/>
    <mergeCell ref="AH14:AH16"/>
    <mergeCell ref="AI14:AI16"/>
    <mergeCell ref="AK14:AK16"/>
    <mergeCell ref="B14:B16"/>
    <mergeCell ref="AR5:AR7"/>
    <mergeCell ref="AP8:AP10"/>
    <mergeCell ref="A5:A7"/>
    <mergeCell ref="AH5:AH7"/>
    <mergeCell ref="AI5:AI7"/>
    <mergeCell ref="AK5:AK7"/>
    <mergeCell ref="AL5:AL7"/>
    <mergeCell ref="B8:B10"/>
    <mergeCell ref="B11:B13"/>
    <mergeCell ref="A11:A13"/>
    <mergeCell ref="AH11:AH13"/>
    <mergeCell ref="AI11:AI13"/>
    <mergeCell ref="AK11:AK13"/>
    <mergeCell ref="AL11:AL13"/>
    <mergeCell ref="AR8:AR10"/>
    <mergeCell ref="A8:A10"/>
    <mergeCell ref="AH8:AH10"/>
    <mergeCell ref="AI8:AI10"/>
    <mergeCell ref="AK8:AK10"/>
    <mergeCell ref="AL8:AL10"/>
    <mergeCell ref="AM8:AM10"/>
    <mergeCell ref="AN8:AN10"/>
    <mergeCell ref="AO8:AO10"/>
    <mergeCell ref="AM5:AM7"/>
    <mergeCell ref="AN5:AN7"/>
    <mergeCell ref="AO5:AO7"/>
    <mergeCell ref="AJ3:AJ4"/>
    <mergeCell ref="AK3:AK4"/>
    <mergeCell ref="AL3:AL4"/>
    <mergeCell ref="AM3:AM4"/>
    <mergeCell ref="B5:B7"/>
    <mergeCell ref="A1:AJ1"/>
    <mergeCell ref="AK1:AS1"/>
    <mergeCell ref="A2:AJ2"/>
    <mergeCell ref="AK2:AN2"/>
    <mergeCell ref="AO2:AS2"/>
    <mergeCell ref="A3:A4"/>
    <mergeCell ref="B3:B4"/>
    <mergeCell ref="C3:AG3"/>
    <mergeCell ref="AH3:AH4"/>
    <mergeCell ref="AI3:AI4"/>
    <mergeCell ref="AP3:AP4"/>
    <mergeCell ref="AQ3:AQ4"/>
    <mergeCell ref="AR3:AR4"/>
    <mergeCell ref="AS3:AS4"/>
    <mergeCell ref="AN3:AN4"/>
    <mergeCell ref="AO3:AO4"/>
    <mergeCell ref="AS5:AS7"/>
    <mergeCell ref="AP5:AP7"/>
    <mergeCell ref="AQ5:AQ7"/>
    <mergeCell ref="AP56:AP58"/>
    <mergeCell ref="AQ56:AQ58"/>
    <mergeCell ref="AR56:AR58"/>
    <mergeCell ref="AS56:AS58"/>
    <mergeCell ref="A59:A61"/>
    <mergeCell ref="AH59:AH61"/>
    <mergeCell ref="AI59:AI61"/>
    <mergeCell ref="AK59:AK61"/>
    <mergeCell ref="AL59:AL61"/>
    <mergeCell ref="AM59:AM61"/>
    <mergeCell ref="AN59:AN61"/>
    <mergeCell ref="AO59:AO61"/>
    <mergeCell ref="AP59:AP61"/>
    <mergeCell ref="AQ59:AQ61"/>
    <mergeCell ref="AR59:AR61"/>
    <mergeCell ref="AS59:AS61"/>
    <mergeCell ref="A56:A58"/>
    <mergeCell ref="AH56:AH58"/>
    <mergeCell ref="AI56:AI58"/>
    <mergeCell ref="AK56:AK58"/>
    <mergeCell ref="AL56:AL58"/>
    <mergeCell ref="AM56:AM58"/>
    <mergeCell ref="AN56:AN58"/>
    <mergeCell ref="AO56:AO58"/>
    <mergeCell ref="AP62:AP64"/>
    <mergeCell ref="AQ62:AQ64"/>
    <mergeCell ref="AR62:AR64"/>
    <mergeCell ref="AS62:AS64"/>
    <mergeCell ref="A65:A67"/>
    <mergeCell ref="AH65:AH67"/>
    <mergeCell ref="AI65:AI67"/>
    <mergeCell ref="AK65:AK67"/>
    <mergeCell ref="AL65:AL67"/>
    <mergeCell ref="AM65:AM67"/>
    <mergeCell ref="AN65:AN67"/>
    <mergeCell ref="AO65:AO67"/>
    <mergeCell ref="AP65:AP67"/>
    <mergeCell ref="AQ65:AQ67"/>
    <mergeCell ref="AR65:AR67"/>
    <mergeCell ref="AS65:AS67"/>
    <mergeCell ref="A62:A64"/>
    <mergeCell ref="AH62:AH64"/>
    <mergeCell ref="AI62:AI64"/>
    <mergeCell ref="AK62:AK64"/>
    <mergeCell ref="AL62:AL64"/>
    <mergeCell ref="AM62:AM64"/>
    <mergeCell ref="AN62:AN64"/>
    <mergeCell ref="AO62:AO64"/>
    <mergeCell ref="B59:B61"/>
    <mergeCell ref="B62:B64"/>
    <mergeCell ref="B65:B67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</mergeCells>
  <conditionalFormatting sqref="G5">
    <cfRule type="containsText" dxfId="1240" priority="1" operator="containsText" text="P">
      <formula>NOT(ISERROR(SEARCH("P",G5)))</formula>
    </cfRule>
    <cfRule type="containsText" dxfId="1239" priority="10" operator="containsText" text="A">
      <formula>NOT(ISERROR(SEARCH("A",G5)))</formula>
    </cfRule>
    <cfRule type="containsText" dxfId="1238" priority="11" operator="containsText" text="P">
      <formula>NOT(ISERROR(SEARCH("P",G5)))</formula>
    </cfRule>
  </conditionalFormatting>
  <conditionalFormatting sqref="C5:AG55">
    <cfRule type="containsText" dxfId="1237" priority="9" operator="containsText" text="AB">
      <formula>NOT(ISERROR(SEARCH("AB",C5)))</formula>
    </cfRule>
  </conditionalFormatting>
  <conditionalFormatting sqref="C56:AG58">
    <cfRule type="containsText" dxfId="1236" priority="8" operator="containsText" text="AB">
      <formula>NOT(ISERROR(SEARCH("AB",C56)))</formula>
    </cfRule>
  </conditionalFormatting>
  <conditionalFormatting sqref="C65:AG67">
    <cfRule type="containsText" dxfId="1235" priority="5" operator="containsText" text="AB">
      <formula>NOT(ISERROR(SEARCH("AB",C65)))</formula>
    </cfRule>
  </conditionalFormatting>
  <conditionalFormatting sqref="C59:AG61">
    <cfRule type="containsText" dxfId="1234" priority="7" operator="containsText" text="AB">
      <formula>NOT(ISERROR(SEARCH("AB",C59)))</formula>
    </cfRule>
  </conditionalFormatting>
  <conditionalFormatting sqref="C62:AG64">
    <cfRule type="containsText" dxfId="1233" priority="6" operator="containsText" text="AB">
      <formula>NOT(ISERROR(SEARCH("AB",C62)))</formula>
    </cfRule>
  </conditionalFormatting>
  <conditionalFormatting sqref="A1:XFD5 B8 B11 B14 B17 B20 B23 B26 B29 B32 B35 B38 B41 B44 B47 B50 B53 B56 B59 B62 B65 A68:XFD1048576 A6:A67 C6:XFD67">
    <cfRule type="containsText" dxfId="1232" priority="2" operator="containsText" text="AB">
      <formula>NOT(ISERROR(SEARCH("AB",A1)))</formula>
    </cfRule>
    <cfRule type="containsText" dxfId="1231" priority="3" operator="containsText" text="AB">
      <formula>NOT(ISERROR(SEARCH("AB",A1)))</formula>
    </cfRule>
  </conditionalFormatting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workbookViewId="0">
      <selection sqref="A1:J4"/>
    </sheetView>
  </sheetViews>
  <sheetFormatPr defaultRowHeight="15" x14ac:dyDescent="0.25"/>
  <cols>
    <col min="1" max="1" width="5.7109375" customWidth="1"/>
    <col min="2" max="2" width="24.42578125" customWidth="1"/>
    <col min="3" max="3" width="12.7109375" customWidth="1"/>
    <col min="4" max="4" width="24" customWidth="1"/>
    <col min="5" max="5" width="12" customWidth="1"/>
    <col min="6" max="6" width="13.85546875" customWidth="1"/>
    <col min="9" max="9" width="11.7109375" customWidth="1"/>
  </cols>
  <sheetData>
    <row r="1" spans="1:10" x14ac:dyDescent="0.25">
      <c r="A1" s="129" t="s">
        <v>3</v>
      </c>
      <c r="B1" s="129"/>
      <c r="C1" s="129"/>
      <c r="D1" s="129"/>
      <c r="E1" s="129"/>
      <c r="F1" s="129"/>
      <c r="G1" s="129"/>
      <c r="H1" s="129"/>
      <c r="I1" s="129"/>
      <c r="J1" s="129"/>
    </row>
    <row r="2" spans="1:10" ht="30.75" customHeight="1" x14ac:dyDescent="0.25">
      <c r="A2" s="162" t="s">
        <v>4</v>
      </c>
      <c r="B2" s="163"/>
      <c r="C2" s="163"/>
      <c r="D2" s="163"/>
      <c r="E2" s="163"/>
      <c r="F2" s="163"/>
      <c r="G2" s="163"/>
      <c r="H2" s="163"/>
      <c r="I2" s="163"/>
      <c r="J2" s="164"/>
    </row>
    <row r="3" spans="1:10" ht="30.75" customHeight="1" x14ac:dyDescent="0.25">
      <c r="A3" s="5" t="s">
        <v>5</v>
      </c>
      <c r="B3" s="5" t="s">
        <v>6</v>
      </c>
      <c r="C3" s="5" t="s">
        <v>7</v>
      </c>
      <c r="D3" s="4" t="s">
        <v>8</v>
      </c>
      <c r="E3" s="4" t="s">
        <v>9</v>
      </c>
      <c r="F3" s="5" t="s">
        <v>10</v>
      </c>
      <c r="G3" s="5" t="s">
        <v>11</v>
      </c>
      <c r="H3" s="5" t="s">
        <v>12</v>
      </c>
      <c r="I3" s="4" t="s">
        <v>13</v>
      </c>
      <c r="J3" s="5" t="s">
        <v>14</v>
      </c>
    </row>
    <row r="4" spans="1:10" ht="50.25" customHeight="1" x14ac:dyDescent="0.25">
      <c r="A4" s="5">
        <v>1</v>
      </c>
      <c r="B4" s="6" t="s">
        <v>15</v>
      </c>
      <c r="C4" s="5" t="s">
        <v>18</v>
      </c>
      <c r="D4" s="6" t="s">
        <v>22</v>
      </c>
      <c r="E4" s="6">
        <v>55195</v>
      </c>
      <c r="F4" s="6" t="s">
        <v>23</v>
      </c>
      <c r="G4" s="6">
        <v>702</v>
      </c>
      <c r="H4" s="6">
        <v>936</v>
      </c>
      <c r="I4" s="6">
        <v>53557</v>
      </c>
      <c r="J4" s="6"/>
    </row>
    <row r="5" spans="1:10" ht="50.25" customHeight="1" x14ac:dyDescent="0.25">
      <c r="A5" s="5">
        <v>2</v>
      </c>
      <c r="B5" s="6" t="s">
        <v>16</v>
      </c>
      <c r="C5" s="5" t="s">
        <v>19</v>
      </c>
      <c r="D5" s="6" t="s">
        <v>24</v>
      </c>
      <c r="E5" s="6">
        <v>535350</v>
      </c>
      <c r="F5" s="6">
        <v>19478</v>
      </c>
      <c r="G5" s="6">
        <v>9074</v>
      </c>
      <c r="H5" s="6">
        <v>9074</v>
      </c>
      <c r="I5" s="6">
        <v>497724</v>
      </c>
      <c r="J5" s="6"/>
    </row>
    <row r="6" spans="1:10" ht="50.25" customHeight="1" x14ac:dyDescent="0.25">
      <c r="A6" s="5">
        <v>3</v>
      </c>
      <c r="B6" s="6" t="s">
        <v>17</v>
      </c>
      <c r="C6" s="5" t="s">
        <v>20</v>
      </c>
      <c r="D6" s="6" t="s">
        <v>25</v>
      </c>
      <c r="E6" s="6">
        <v>155295</v>
      </c>
      <c r="F6" s="6">
        <v>15530</v>
      </c>
      <c r="G6" s="6">
        <v>2632</v>
      </c>
      <c r="H6" s="6">
        <v>2362</v>
      </c>
      <c r="I6" s="6">
        <v>134501</v>
      </c>
      <c r="J6" s="6"/>
    </row>
    <row r="7" spans="1:10" ht="49.5" customHeight="1" x14ac:dyDescent="0.25">
      <c r="A7" s="5">
        <v>4</v>
      </c>
      <c r="B7" s="3" t="s">
        <v>27</v>
      </c>
      <c r="C7" s="5" t="s">
        <v>21</v>
      </c>
      <c r="D7" s="6" t="s">
        <v>26</v>
      </c>
      <c r="E7" s="6">
        <v>437965</v>
      </c>
      <c r="F7" s="6">
        <v>43797</v>
      </c>
      <c r="G7" s="6">
        <v>7423</v>
      </c>
      <c r="H7" s="6">
        <v>7423</v>
      </c>
      <c r="I7" s="6">
        <v>379322</v>
      </c>
      <c r="J7" s="6"/>
    </row>
    <row r="8" spans="1:10" ht="49.5" customHeight="1" x14ac:dyDescent="0.25">
      <c r="A8" s="5"/>
      <c r="B8" s="2"/>
      <c r="C8" s="5"/>
      <c r="D8" s="6"/>
      <c r="E8" s="6"/>
      <c r="F8" s="6"/>
      <c r="G8" s="6"/>
      <c r="H8" s="6"/>
      <c r="I8" s="6"/>
      <c r="J8" s="6"/>
    </row>
    <row r="9" spans="1:10" ht="49.5" customHeight="1" x14ac:dyDescent="0.25"/>
    <row r="10" spans="1:10" ht="49.5" customHeight="1" x14ac:dyDescent="0.25"/>
    <row r="11" spans="1:10" ht="49.5" customHeight="1" x14ac:dyDescent="0.25"/>
    <row r="12" spans="1:10" ht="49.5" customHeight="1" x14ac:dyDescent="0.25"/>
  </sheetData>
  <mergeCells count="2">
    <mergeCell ref="A1:J1"/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workbookViewId="0">
      <selection activeCell="I8" sqref="I8"/>
    </sheetView>
  </sheetViews>
  <sheetFormatPr defaultRowHeight="15" x14ac:dyDescent="0.25"/>
  <cols>
    <col min="1" max="1" width="5.7109375" customWidth="1"/>
    <col min="2" max="2" width="24.42578125" customWidth="1"/>
    <col min="3" max="3" width="12.7109375" customWidth="1"/>
    <col min="4" max="4" width="24" customWidth="1"/>
    <col min="5" max="5" width="12" customWidth="1"/>
    <col min="6" max="6" width="13.85546875" customWidth="1"/>
    <col min="9" max="9" width="11.7109375" customWidth="1"/>
  </cols>
  <sheetData>
    <row r="1" spans="1:10" x14ac:dyDescent="0.25">
      <c r="A1" s="129" t="s">
        <v>3</v>
      </c>
      <c r="B1" s="129"/>
      <c r="C1" s="129"/>
      <c r="D1" s="129"/>
      <c r="E1" s="129"/>
      <c r="F1" s="129"/>
      <c r="G1" s="129"/>
      <c r="H1" s="129"/>
      <c r="I1" s="129"/>
      <c r="J1" s="129"/>
    </row>
    <row r="2" spans="1:10" x14ac:dyDescent="0.25">
      <c r="A2" s="162" t="s">
        <v>4</v>
      </c>
      <c r="B2" s="163"/>
      <c r="C2" s="163"/>
      <c r="D2" s="163"/>
      <c r="E2" s="163"/>
      <c r="F2" s="163"/>
      <c r="G2" s="163"/>
      <c r="H2" s="163"/>
      <c r="I2" s="163"/>
      <c r="J2" s="164"/>
    </row>
    <row r="3" spans="1:10" ht="30" x14ac:dyDescent="0.25">
      <c r="A3" s="5" t="s">
        <v>5</v>
      </c>
      <c r="B3" s="5" t="s">
        <v>6</v>
      </c>
      <c r="C3" s="5" t="s">
        <v>7</v>
      </c>
      <c r="D3" s="4" t="s">
        <v>8</v>
      </c>
      <c r="E3" s="4" t="s">
        <v>9</v>
      </c>
      <c r="F3" s="5" t="s">
        <v>10</v>
      </c>
      <c r="G3" s="5" t="s">
        <v>11</v>
      </c>
      <c r="H3" s="5" t="s">
        <v>12</v>
      </c>
      <c r="I3" s="4" t="s">
        <v>13</v>
      </c>
      <c r="J3" s="5" t="s">
        <v>14</v>
      </c>
    </row>
    <row r="4" spans="1:10" ht="57.75" customHeight="1" x14ac:dyDescent="0.25">
      <c r="A4" s="5">
        <v>1</v>
      </c>
      <c r="B4" s="5" t="s">
        <v>28</v>
      </c>
      <c r="C4" s="5" t="s">
        <v>18</v>
      </c>
      <c r="D4" s="5" t="s">
        <v>35</v>
      </c>
      <c r="E4" s="5">
        <v>127426</v>
      </c>
      <c r="F4" s="5">
        <v>6371</v>
      </c>
      <c r="G4" s="5">
        <v>2160</v>
      </c>
      <c r="H4" s="5">
        <v>2160</v>
      </c>
      <c r="I4" s="5">
        <v>116735</v>
      </c>
      <c r="J4" s="5"/>
    </row>
    <row r="5" spans="1:10" ht="57.75" customHeight="1" x14ac:dyDescent="0.25">
      <c r="A5" s="5">
        <v>2</v>
      </c>
      <c r="B5" s="5" t="s">
        <v>29</v>
      </c>
      <c r="C5" s="5" t="s">
        <v>33</v>
      </c>
      <c r="D5" s="5" t="s">
        <v>36</v>
      </c>
      <c r="E5" s="5">
        <v>247288</v>
      </c>
      <c r="F5" s="5">
        <v>12364</v>
      </c>
      <c r="G5" s="5">
        <v>4191</v>
      </c>
      <c r="H5" s="5">
        <v>4191</v>
      </c>
      <c r="I5" s="5">
        <v>226542</v>
      </c>
      <c r="J5" s="5"/>
    </row>
    <row r="6" spans="1:10" ht="57.75" customHeight="1" x14ac:dyDescent="0.25">
      <c r="A6" s="5">
        <v>3</v>
      </c>
      <c r="B6" s="5" t="s">
        <v>30</v>
      </c>
      <c r="C6" s="5" t="s">
        <v>34</v>
      </c>
      <c r="D6" s="5" t="s">
        <v>37</v>
      </c>
      <c r="E6" s="5">
        <v>262647</v>
      </c>
      <c r="F6" s="5">
        <v>13132</v>
      </c>
      <c r="G6" s="5">
        <v>4452</v>
      </c>
      <c r="H6" s="5">
        <v>4452</v>
      </c>
      <c r="I6" s="5">
        <v>240611</v>
      </c>
      <c r="J6" s="5"/>
    </row>
    <row r="7" spans="1:10" ht="57.75" customHeight="1" x14ac:dyDescent="0.25">
      <c r="A7" s="5">
        <v>4</v>
      </c>
      <c r="B7" s="5" t="s">
        <v>31</v>
      </c>
      <c r="C7" s="8">
        <v>44783</v>
      </c>
      <c r="D7" s="5" t="s">
        <v>38</v>
      </c>
      <c r="E7" s="5">
        <v>750559</v>
      </c>
      <c r="F7" s="5">
        <v>37528</v>
      </c>
      <c r="G7" s="5">
        <v>12721</v>
      </c>
      <c r="H7" s="5">
        <v>12721</v>
      </c>
      <c r="I7" s="5">
        <v>687589</v>
      </c>
      <c r="J7" s="5"/>
    </row>
    <row r="8" spans="1:10" ht="57.75" customHeight="1" x14ac:dyDescent="0.25">
      <c r="A8" s="5">
        <v>5</v>
      </c>
      <c r="B8" s="7" t="s">
        <v>32</v>
      </c>
      <c r="C8" s="8">
        <v>44816</v>
      </c>
      <c r="D8" s="5" t="s">
        <v>39</v>
      </c>
      <c r="E8" s="5">
        <v>369811</v>
      </c>
      <c r="F8" s="5">
        <v>18491</v>
      </c>
      <c r="G8" s="5">
        <v>6268</v>
      </c>
      <c r="H8" s="5">
        <v>6268</v>
      </c>
      <c r="I8" s="5">
        <v>338784</v>
      </c>
      <c r="J8" s="5"/>
    </row>
  </sheetData>
  <mergeCells count="2">
    <mergeCell ref="A1:J1"/>
    <mergeCell ref="A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98"/>
  <sheetViews>
    <sheetView zoomScale="60" zoomScaleNormal="60" workbookViewId="0">
      <pane ySplit="1" topLeftCell="A2" activePane="bottomLeft" state="frozen"/>
      <selection pane="bottomLeft" activeCell="AO14" sqref="AO14:AO16"/>
    </sheetView>
  </sheetViews>
  <sheetFormatPr defaultRowHeight="15" x14ac:dyDescent="0.25"/>
  <cols>
    <col min="1" max="1" width="6.28515625" customWidth="1"/>
    <col min="2" max="2" width="24.140625" customWidth="1"/>
    <col min="3" max="3" width="9" bestFit="1" customWidth="1"/>
    <col min="4" max="4" width="5.7109375" customWidth="1"/>
    <col min="5" max="33" width="4.85546875" customWidth="1"/>
    <col min="34" max="35" width="7.42578125" customWidth="1"/>
    <col min="36" max="36" width="6.140625" style="17" customWidth="1"/>
    <col min="37" max="37" width="7.5703125" customWidth="1"/>
    <col min="38" max="38" width="5.5703125" customWidth="1"/>
    <col min="39" max="39" width="7.28515625" customWidth="1"/>
    <col min="40" max="40" width="6.7109375" customWidth="1"/>
    <col min="41" max="41" width="7" customWidth="1"/>
    <col min="42" max="42" width="7.140625" customWidth="1"/>
    <col min="43" max="43" width="8.85546875" customWidth="1"/>
    <col min="44" max="44" width="8.140625" customWidth="1"/>
    <col min="45" max="45" width="12.7109375" bestFit="1" customWidth="1"/>
  </cols>
  <sheetData>
    <row r="1" spans="1:45" ht="28.5" x14ac:dyDescent="0.25">
      <c r="A1" s="142" t="s">
        <v>40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4"/>
      <c r="AK1" s="145"/>
      <c r="AL1" s="146"/>
      <c r="AM1" s="146"/>
      <c r="AN1" s="146"/>
      <c r="AO1" s="146"/>
      <c r="AP1" s="146"/>
      <c r="AQ1" s="146"/>
      <c r="AR1" s="146"/>
      <c r="AS1" s="147"/>
    </row>
    <row r="2" spans="1:45" ht="21.75" x14ac:dyDescent="0.25">
      <c r="A2" s="148" t="s">
        <v>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50"/>
      <c r="AK2" s="151" t="s">
        <v>47</v>
      </c>
      <c r="AL2" s="151"/>
      <c r="AM2" s="151"/>
      <c r="AN2" s="151"/>
      <c r="AO2" s="151" t="s">
        <v>48</v>
      </c>
      <c r="AP2" s="151"/>
      <c r="AQ2" s="151"/>
      <c r="AR2" s="151"/>
      <c r="AS2" s="152"/>
    </row>
    <row r="3" spans="1:45" ht="27" customHeight="1" x14ac:dyDescent="0.25">
      <c r="A3" s="153" t="s">
        <v>2</v>
      </c>
      <c r="B3" s="154" t="s">
        <v>1</v>
      </c>
      <c r="C3" s="155" t="s">
        <v>86</v>
      </c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6" t="s">
        <v>53</v>
      </c>
      <c r="AI3" s="157" t="s">
        <v>54</v>
      </c>
      <c r="AJ3" s="157" t="s">
        <v>0</v>
      </c>
      <c r="AK3" s="157" t="s">
        <v>42</v>
      </c>
      <c r="AL3" s="157" t="s">
        <v>43</v>
      </c>
      <c r="AM3" s="157" t="s">
        <v>44</v>
      </c>
      <c r="AN3" s="157" t="s">
        <v>45</v>
      </c>
      <c r="AO3" s="157" t="s">
        <v>46</v>
      </c>
      <c r="AP3" s="157" t="s">
        <v>55</v>
      </c>
      <c r="AQ3" s="157" t="s">
        <v>59</v>
      </c>
      <c r="AR3" s="157" t="s">
        <v>57</v>
      </c>
      <c r="AS3" s="159" t="s">
        <v>58</v>
      </c>
    </row>
    <row r="4" spans="1:45" ht="27" customHeight="1" x14ac:dyDescent="0.25">
      <c r="A4" s="153"/>
      <c r="B4" s="154"/>
      <c r="C4" s="25">
        <v>1</v>
      </c>
      <c r="D4" s="29">
        <v>2</v>
      </c>
      <c r="E4" s="29">
        <v>3</v>
      </c>
      <c r="F4" s="29">
        <v>4</v>
      </c>
      <c r="G4" s="29">
        <v>5</v>
      </c>
      <c r="H4" s="30">
        <v>6</v>
      </c>
      <c r="I4" s="29">
        <v>7</v>
      </c>
      <c r="J4" s="25">
        <v>8</v>
      </c>
      <c r="K4" s="29">
        <v>9</v>
      </c>
      <c r="L4" s="29">
        <v>10</v>
      </c>
      <c r="M4" s="29">
        <v>11</v>
      </c>
      <c r="N4" s="29">
        <v>12</v>
      </c>
      <c r="O4" s="30">
        <v>13</v>
      </c>
      <c r="P4" s="29">
        <v>14</v>
      </c>
      <c r="Q4" s="25">
        <v>15</v>
      </c>
      <c r="R4" s="29">
        <v>16</v>
      </c>
      <c r="S4" s="29">
        <v>17</v>
      </c>
      <c r="T4" s="29">
        <v>18</v>
      </c>
      <c r="U4" s="29">
        <v>19</v>
      </c>
      <c r="V4" s="30">
        <v>20</v>
      </c>
      <c r="W4" s="29">
        <v>21</v>
      </c>
      <c r="X4" s="25">
        <v>22</v>
      </c>
      <c r="Y4" s="29">
        <v>23</v>
      </c>
      <c r="Z4" s="29">
        <v>24</v>
      </c>
      <c r="AA4" s="29">
        <v>25</v>
      </c>
      <c r="AB4" s="29">
        <v>26</v>
      </c>
      <c r="AC4" s="30">
        <v>27</v>
      </c>
      <c r="AD4" s="29">
        <v>28</v>
      </c>
      <c r="AE4" s="25">
        <v>29</v>
      </c>
      <c r="AF4" s="29">
        <v>30</v>
      </c>
      <c r="AG4" s="29"/>
      <c r="AH4" s="156"/>
      <c r="AI4" s="158"/>
      <c r="AJ4" s="158"/>
      <c r="AK4" s="158"/>
      <c r="AL4" s="158"/>
      <c r="AM4" s="158"/>
      <c r="AN4" s="158"/>
      <c r="AO4" s="158"/>
      <c r="AP4" s="158"/>
      <c r="AQ4" s="158"/>
      <c r="AR4" s="158"/>
      <c r="AS4" s="160"/>
    </row>
    <row r="5" spans="1:45" x14ac:dyDescent="0.25">
      <c r="A5" s="131">
        <v>1</v>
      </c>
      <c r="B5" s="123" t="s">
        <v>61</v>
      </c>
      <c r="C5" s="1" t="s">
        <v>41</v>
      </c>
      <c r="D5" s="1" t="s">
        <v>41</v>
      </c>
      <c r="E5" s="1" t="s">
        <v>41</v>
      </c>
      <c r="F5" s="1" t="s">
        <v>41</v>
      </c>
      <c r="G5" s="24" t="s">
        <v>41</v>
      </c>
      <c r="H5" s="1" t="s">
        <v>41</v>
      </c>
      <c r="I5" s="1" t="s">
        <v>41</v>
      </c>
      <c r="J5" s="1" t="s">
        <v>41</v>
      </c>
      <c r="K5" s="1" t="s">
        <v>41</v>
      </c>
      <c r="L5" s="1" t="s">
        <v>52</v>
      </c>
      <c r="M5" s="1" t="s">
        <v>41</v>
      </c>
      <c r="N5" s="1" t="s">
        <v>41</v>
      </c>
      <c r="O5" s="1" t="s">
        <v>41</v>
      </c>
      <c r="P5" s="1" t="s">
        <v>41</v>
      </c>
      <c r="Q5" s="1" t="s">
        <v>41</v>
      </c>
      <c r="R5" s="1" t="s">
        <v>41</v>
      </c>
      <c r="S5" s="1" t="s">
        <v>41</v>
      </c>
      <c r="T5" s="1" t="s">
        <v>41</v>
      </c>
      <c r="U5" s="1" t="s">
        <v>41</v>
      </c>
      <c r="V5" s="1" t="s">
        <v>41</v>
      </c>
      <c r="W5" s="1" t="s">
        <v>41</v>
      </c>
      <c r="X5" s="1" t="s">
        <v>41</v>
      </c>
      <c r="Y5" s="1" t="s">
        <v>41</v>
      </c>
      <c r="Z5" s="1" t="s">
        <v>41</v>
      </c>
      <c r="AA5" s="1" t="s">
        <v>41</v>
      </c>
      <c r="AB5" s="1" t="s">
        <v>41</v>
      </c>
      <c r="AC5" s="1" t="s">
        <v>41</v>
      </c>
      <c r="AD5" s="1" t="s">
        <v>41</v>
      </c>
      <c r="AE5" s="1" t="s">
        <v>41</v>
      </c>
      <c r="AF5" s="1" t="s">
        <v>41</v>
      </c>
      <c r="AG5" s="1"/>
      <c r="AH5" s="134">
        <f>COUNTIF(C5:AG5,"P")</f>
        <v>29</v>
      </c>
      <c r="AI5" s="134">
        <f>COUNTIF(D5:AH5,"P/2")</f>
        <v>0</v>
      </c>
      <c r="AJ5" s="14"/>
      <c r="AK5" s="137">
        <f>COUNTIF(C7:AG7,"BAAS")</f>
        <v>0</v>
      </c>
      <c r="AL5" s="137">
        <f>COUNTIF(D7:AH7,"RCML")</f>
        <v>0</v>
      </c>
      <c r="AM5" s="137">
        <f>COUNTIF(E7:AJ7,"PRE")</f>
        <v>0</v>
      </c>
      <c r="AN5" s="138">
        <f>COUNTIF(F7:AK7,"BAKR")</f>
        <v>0</v>
      </c>
      <c r="AO5" s="129">
        <v>900</v>
      </c>
      <c r="AP5" s="129">
        <f>AO5*AI5/2</f>
        <v>0</v>
      </c>
      <c r="AQ5" s="129">
        <f>AH5*AO5+AP5</f>
        <v>26100</v>
      </c>
      <c r="AR5" s="129">
        <f>AJ6/8*AO5</f>
        <v>4612.5</v>
      </c>
      <c r="AS5" s="130">
        <f>AQ5+AR5</f>
        <v>30712.5</v>
      </c>
    </row>
    <row r="6" spans="1:45" x14ac:dyDescent="0.25">
      <c r="A6" s="132"/>
      <c r="B6" s="124"/>
      <c r="C6" s="13">
        <v>2</v>
      </c>
      <c r="D6" s="13">
        <v>2</v>
      </c>
      <c r="E6" s="13">
        <v>3</v>
      </c>
      <c r="F6" s="13">
        <v>3</v>
      </c>
      <c r="G6" s="13">
        <v>4</v>
      </c>
      <c r="H6" s="13">
        <v>2</v>
      </c>
      <c r="I6" s="13">
        <v>2</v>
      </c>
      <c r="J6" s="13">
        <v>1</v>
      </c>
      <c r="K6" s="13"/>
      <c r="L6" s="13"/>
      <c r="M6" s="13"/>
      <c r="N6" s="13"/>
      <c r="O6" s="13">
        <v>2</v>
      </c>
      <c r="P6" s="13"/>
      <c r="Q6" s="13">
        <v>1</v>
      </c>
      <c r="R6" s="13">
        <v>2</v>
      </c>
      <c r="S6" s="13"/>
      <c r="T6" s="13"/>
      <c r="U6" s="13">
        <v>1</v>
      </c>
      <c r="V6" s="13">
        <v>2</v>
      </c>
      <c r="W6" s="13">
        <v>1</v>
      </c>
      <c r="X6" s="13"/>
      <c r="Y6" s="13">
        <v>2</v>
      </c>
      <c r="Z6" s="13">
        <v>1</v>
      </c>
      <c r="AA6" s="13"/>
      <c r="AB6" s="13">
        <v>2</v>
      </c>
      <c r="AC6" s="13">
        <v>4</v>
      </c>
      <c r="AD6" s="13">
        <v>2</v>
      </c>
      <c r="AE6" s="13"/>
      <c r="AF6" s="13">
        <v>2</v>
      </c>
      <c r="AG6" s="13"/>
      <c r="AH6" s="135"/>
      <c r="AI6" s="135"/>
      <c r="AJ6" s="15">
        <f>SUM(C6:AG6)</f>
        <v>41</v>
      </c>
      <c r="AK6" s="137"/>
      <c r="AL6" s="137"/>
      <c r="AM6" s="137"/>
      <c r="AN6" s="138"/>
      <c r="AO6" s="129"/>
      <c r="AP6" s="129"/>
      <c r="AQ6" s="129"/>
      <c r="AR6" s="129"/>
      <c r="AS6" s="130"/>
    </row>
    <row r="7" spans="1:45" x14ac:dyDescent="0.25">
      <c r="A7" s="133"/>
      <c r="B7" s="125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36"/>
      <c r="AI7" s="136"/>
      <c r="AJ7" s="16"/>
      <c r="AK7" s="137"/>
      <c r="AL7" s="137"/>
      <c r="AM7" s="137"/>
      <c r="AN7" s="138"/>
      <c r="AO7" s="129"/>
      <c r="AP7" s="129"/>
      <c r="AQ7" s="129"/>
      <c r="AR7" s="129"/>
      <c r="AS7" s="130"/>
    </row>
    <row r="8" spans="1:45" x14ac:dyDescent="0.25">
      <c r="A8" s="131">
        <v>2</v>
      </c>
      <c r="B8" s="126" t="s">
        <v>62</v>
      </c>
      <c r="C8" s="1" t="s">
        <v>41</v>
      </c>
      <c r="D8" s="1" t="s">
        <v>41</v>
      </c>
      <c r="E8" s="1" t="s">
        <v>41</v>
      </c>
      <c r="F8" s="1" t="s">
        <v>41</v>
      </c>
      <c r="G8" s="1" t="s">
        <v>41</v>
      </c>
      <c r="H8" s="1" t="s">
        <v>41</v>
      </c>
      <c r="I8" s="1" t="s">
        <v>41</v>
      </c>
      <c r="J8" s="1" t="s">
        <v>41</v>
      </c>
      <c r="K8" s="1" t="s">
        <v>41</v>
      </c>
      <c r="L8" s="1" t="s">
        <v>41</v>
      </c>
      <c r="M8" s="1" t="s">
        <v>41</v>
      </c>
      <c r="N8" s="1" t="s">
        <v>41</v>
      </c>
      <c r="O8" s="1" t="s">
        <v>41</v>
      </c>
      <c r="P8" s="1" t="s">
        <v>41</v>
      </c>
      <c r="Q8" s="1" t="s">
        <v>41</v>
      </c>
      <c r="R8" s="1" t="s">
        <v>41</v>
      </c>
      <c r="S8" s="1" t="s">
        <v>41</v>
      </c>
      <c r="T8" s="1" t="s">
        <v>41</v>
      </c>
      <c r="U8" s="1" t="s">
        <v>41</v>
      </c>
      <c r="V8" s="1" t="s">
        <v>52</v>
      </c>
      <c r="W8" s="1" t="s">
        <v>41</v>
      </c>
      <c r="X8" s="1" t="s">
        <v>41</v>
      </c>
      <c r="Y8" s="1" t="s">
        <v>41</v>
      </c>
      <c r="Z8" s="1" t="s">
        <v>41</v>
      </c>
      <c r="AA8" s="1" t="s">
        <v>41</v>
      </c>
      <c r="AB8" s="1" t="s">
        <v>41</v>
      </c>
      <c r="AC8" s="1" t="s">
        <v>41</v>
      </c>
      <c r="AD8" s="1" t="s">
        <v>41</v>
      </c>
      <c r="AE8" s="1" t="s">
        <v>41</v>
      </c>
      <c r="AF8" s="1" t="s">
        <v>41</v>
      </c>
      <c r="AG8" s="1"/>
      <c r="AH8" s="134">
        <f>COUNTIF(C8:AG8,"P")</f>
        <v>29</v>
      </c>
      <c r="AI8" s="134">
        <f>COUNTIF(D8:AH8,"P/2")</f>
        <v>0</v>
      </c>
      <c r="AJ8" s="14"/>
      <c r="AK8" s="137">
        <f>COUNTIF(C10:AG10,"BAAS")</f>
        <v>0</v>
      </c>
      <c r="AL8" s="137">
        <f>COUNTIF(D10:AH10,"RCML")</f>
        <v>0</v>
      </c>
      <c r="AM8" s="137">
        <f>COUNTIF(E10:AJ10,"PRE")</f>
        <v>0</v>
      </c>
      <c r="AN8" s="138">
        <f>COUNTIF(F10:AK10,"BAKR")</f>
        <v>0</v>
      </c>
      <c r="AO8" s="129">
        <v>700</v>
      </c>
      <c r="AP8" s="129">
        <f>AO8*AI8/2</f>
        <v>0</v>
      </c>
      <c r="AQ8" s="129">
        <f>AH8*AO8+AP8</f>
        <v>20300</v>
      </c>
      <c r="AR8" s="129">
        <f>AJ9/8*AO8</f>
        <v>3850</v>
      </c>
      <c r="AS8" s="130">
        <f>AQ8+AR8</f>
        <v>24150</v>
      </c>
    </row>
    <row r="9" spans="1:45" x14ac:dyDescent="0.25">
      <c r="A9" s="132"/>
      <c r="B9" s="127"/>
      <c r="C9" s="13">
        <v>2</v>
      </c>
      <c r="D9" s="13"/>
      <c r="E9" s="13">
        <v>3</v>
      </c>
      <c r="F9" s="13">
        <v>4</v>
      </c>
      <c r="G9" s="13">
        <v>4</v>
      </c>
      <c r="H9" s="13">
        <v>2</v>
      </c>
      <c r="I9" s="13">
        <v>2</v>
      </c>
      <c r="J9" s="13"/>
      <c r="K9" s="13"/>
      <c r="L9" s="13">
        <v>1</v>
      </c>
      <c r="M9" s="13"/>
      <c r="N9" s="13"/>
      <c r="O9" s="13"/>
      <c r="P9" s="13">
        <v>1</v>
      </c>
      <c r="Q9" s="13">
        <v>2</v>
      </c>
      <c r="R9" s="13">
        <v>1</v>
      </c>
      <c r="S9" s="13">
        <v>3</v>
      </c>
      <c r="T9" s="13">
        <v>1</v>
      </c>
      <c r="U9" s="13">
        <v>1</v>
      </c>
      <c r="V9" s="13"/>
      <c r="W9" s="13"/>
      <c r="X9" s="13"/>
      <c r="Y9" s="13">
        <v>4</v>
      </c>
      <c r="Z9" s="13">
        <v>3</v>
      </c>
      <c r="AA9" s="13">
        <v>4</v>
      </c>
      <c r="AB9" s="13">
        <v>2</v>
      </c>
      <c r="AC9" s="13">
        <v>1</v>
      </c>
      <c r="AD9" s="13">
        <v>1</v>
      </c>
      <c r="AE9" s="13"/>
      <c r="AF9" s="13">
        <v>2</v>
      </c>
      <c r="AG9" s="13"/>
      <c r="AH9" s="135"/>
      <c r="AI9" s="135"/>
      <c r="AJ9" s="15">
        <f>SUM(C9:AG9)</f>
        <v>44</v>
      </c>
      <c r="AK9" s="137"/>
      <c r="AL9" s="137"/>
      <c r="AM9" s="137"/>
      <c r="AN9" s="138"/>
      <c r="AO9" s="129"/>
      <c r="AP9" s="129"/>
      <c r="AQ9" s="129"/>
      <c r="AR9" s="129"/>
      <c r="AS9" s="130"/>
    </row>
    <row r="10" spans="1:45" x14ac:dyDescent="0.25">
      <c r="A10" s="133"/>
      <c r="B10" s="128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36"/>
      <c r="AI10" s="136"/>
      <c r="AJ10" s="16"/>
      <c r="AK10" s="137"/>
      <c r="AL10" s="137"/>
      <c r="AM10" s="137"/>
      <c r="AN10" s="138"/>
      <c r="AO10" s="129"/>
      <c r="AP10" s="129"/>
      <c r="AQ10" s="129"/>
      <c r="AR10" s="129"/>
      <c r="AS10" s="130"/>
    </row>
    <row r="11" spans="1:45" x14ac:dyDescent="0.25">
      <c r="A11" s="131">
        <v>3</v>
      </c>
      <c r="B11" s="126" t="s">
        <v>63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 t="s">
        <v>41</v>
      </c>
      <c r="AE11" s="1" t="s">
        <v>41</v>
      </c>
      <c r="AF11" s="1" t="s">
        <v>41</v>
      </c>
      <c r="AG11" s="1"/>
      <c r="AH11" s="134">
        <f>COUNTIF(C11:AG11,"P")</f>
        <v>3</v>
      </c>
      <c r="AI11" s="134">
        <f>COUNTIF(D11:AH11,"P/2")</f>
        <v>0</v>
      </c>
      <c r="AJ11" s="14"/>
      <c r="AK11" s="137">
        <f>COUNTIF(C13:AG13,"BAAS")</f>
        <v>0</v>
      </c>
      <c r="AL11" s="137">
        <f>COUNTIF(D13:AH13,"RCML")</f>
        <v>0</v>
      </c>
      <c r="AM11" s="137">
        <f>COUNTIF(E13:AJ13,"PRE")</f>
        <v>0</v>
      </c>
      <c r="AN11" s="138">
        <f>COUNTIF(F13:AK13,"BAKR")</f>
        <v>0</v>
      </c>
      <c r="AO11" s="129">
        <v>700</v>
      </c>
      <c r="AP11" s="129">
        <f>AO11*AI11/2</f>
        <v>0</v>
      </c>
      <c r="AQ11" s="129">
        <f>AH11*AO11+AP11</f>
        <v>2100</v>
      </c>
      <c r="AR11" s="129">
        <f>AJ12/8*AO11</f>
        <v>350</v>
      </c>
      <c r="AS11" s="130">
        <f>AQ11+AR11</f>
        <v>2450</v>
      </c>
    </row>
    <row r="12" spans="1:45" x14ac:dyDescent="0.25">
      <c r="A12" s="132"/>
      <c r="B12" s="127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>
        <v>2</v>
      </c>
      <c r="AE12" s="13"/>
      <c r="AF12" s="13">
        <v>2</v>
      </c>
      <c r="AG12" s="13"/>
      <c r="AH12" s="135"/>
      <c r="AI12" s="135"/>
      <c r="AJ12" s="15">
        <f>SUM(C12:AG12)</f>
        <v>4</v>
      </c>
      <c r="AK12" s="137"/>
      <c r="AL12" s="137"/>
      <c r="AM12" s="137"/>
      <c r="AN12" s="138"/>
      <c r="AO12" s="129"/>
      <c r="AP12" s="129"/>
      <c r="AQ12" s="129"/>
      <c r="AR12" s="129"/>
      <c r="AS12" s="130"/>
    </row>
    <row r="13" spans="1:45" x14ac:dyDescent="0.25">
      <c r="A13" s="133"/>
      <c r="B13" s="128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36"/>
      <c r="AI13" s="136"/>
      <c r="AJ13" s="16"/>
      <c r="AK13" s="137"/>
      <c r="AL13" s="137"/>
      <c r="AM13" s="137"/>
      <c r="AN13" s="138"/>
      <c r="AO13" s="129"/>
      <c r="AP13" s="129"/>
      <c r="AQ13" s="129"/>
      <c r="AR13" s="129"/>
      <c r="AS13" s="130"/>
    </row>
    <row r="14" spans="1:45" x14ac:dyDescent="0.25">
      <c r="A14" s="131">
        <v>4</v>
      </c>
      <c r="B14" s="126" t="s">
        <v>67</v>
      </c>
      <c r="C14" s="1" t="s">
        <v>41</v>
      </c>
      <c r="D14" s="1" t="s">
        <v>41</v>
      </c>
      <c r="E14" s="1" t="s">
        <v>41</v>
      </c>
      <c r="F14" s="1" t="s">
        <v>41</v>
      </c>
      <c r="G14" s="1" t="s">
        <v>41</v>
      </c>
      <c r="H14" s="1" t="s">
        <v>41</v>
      </c>
      <c r="I14" s="1" t="s">
        <v>41</v>
      </c>
      <c r="J14" s="1" t="s">
        <v>41</v>
      </c>
      <c r="K14" s="1" t="s">
        <v>41</v>
      </c>
      <c r="L14" s="1" t="s">
        <v>41</v>
      </c>
      <c r="M14" s="1" t="s">
        <v>41</v>
      </c>
      <c r="N14" s="1" t="s">
        <v>41</v>
      </c>
      <c r="O14" s="1" t="s">
        <v>41</v>
      </c>
      <c r="P14" s="1" t="s">
        <v>41</v>
      </c>
      <c r="Q14" s="1" t="s">
        <v>41</v>
      </c>
      <c r="R14" s="1" t="s">
        <v>41</v>
      </c>
      <c r="S14" s="1" t="s">
        <v>41</v>
      </c>
      <c r="T14" s="1" t="s">
        <v>41</v>
      </c>
      <c r="U14" s="1" t="s">
        <v>41</v>
      </c>
      <c r="V14" s="1" t="s">
        <v>52</v>
      </c>
      <c r="W14" s="1" t="s">
        <v>41</v>
      </c>
      <c r="X14" s="1" t="s">
        <v>41</v>
      </c>
      <c r="Y14" s="1" t="s">
        <v>41</v>
      </c>
      <c r="Z14" s="1" t="s">
        <v>41</v>
      </c>
      <c r="AA14" s="1" t="s">
        <v>41</v>
      </c>
      <c r="AB14" s="1" t="s">
        <v>41</v>
      </c>
      <c r="AC14" s="1" t="s">
        <v>41</v>
      </c>
      <c r="AD14" s="1" t="s">
        <v>41</v>
      </c>
      <c r="AE14" s="1" t="s">
        <v>41</v>
      </c>
      <c r="AF14" s="1" t="s">
        <v>41</v>
      </c>
      <c r="AG14" s="1"/>
      <c r="AH14" s="134">
        <f>COUNTIF(C14:AG14,"P")</f>
        <v>29</v>
      </c>
      <c r="AI14" s="134">
        <f>COUNTIF(D14:AH14,"P/2")</f>
        <v>0</v>
      </c>
      <c r="AJ14" s="14"/>
      <c r="AK14" s="137">
        <f>COUNTIF(C16:AG16,"BAAS")</f>
        <v>0</v>
      </c>
      <c r="AL14" s="137">
        <f>COUNTIF(D16:AH16,"RCML")</f>
        <v>0</v>
      </c>
      <c r="AM14" s="137">
        <f>COUNTIF(E16:AJ16,"PRE")</f>
        <v>0</v>
      </c>
      <c r="AN14" s="138">
        <f>COUNTIF(F16:AK16,"BAKR")</f>
        <v>0</v>
      </c>
      <c r="AO14" s="129">
        <v>700</v>
      </c>
      <c r="AP14" s="129">
        <f>AO14*AI14/2</f>
        <v>0</v>
      </c>
      <c r="AQ14" s="129">
        <f>AH14*AO14+AP14</f>
        <v>20300</v>
      </c>
      <c r="AR14" s="129">
        <f>AJ15/8*AO14</f>
        <v>4200</v>
      </c>
      <c r="AS14" s="130">
        <f>AQ14+AR14</f>
        <v>24500</v>
      </c>
    </row>
    <row r="15" spans="1:45" x14ac:dyDescent="0.25">
      <c r="A15" s="132"/>
      <c r="B15" s="127"/>
      <c r="C15" s="9">
        <v>2</v>
      </c>
      <c r="D15" s="9">
        <v>3</v>
      </c>
      <c r="E15" s="9">
        <v>3</v>
      </c>
      <c r="F15" s="9">
        <v>3</v>
      </c>
      <c r="G15" s="9">
        <v>4</v>
      </c>
      <c r="H15" s="9">
        <v>2</v>
      </c>
      <c r="I15" s="9">
        <v>6</v>
      </c>
      <c r="J15" s="9"/>
      <c r="K15" s="9"/>
      <c r="L15" s="9">
        <v>1</v>
      </c>
      <c r="M15" s="9"/>
      <c r="N15" s="9"/>
      <c r="O15" s="9">
        <v>1</v>
      </c>
      <c r="P15" s="9">
        <v>4</v>
      </c>
      <c r="Q15" s="9">
        <v>1</v>
      </c>
      <c r="R15" s="9">
        <v>1</v>
      </c>
      <c r="S15" s="9"/>
      <c r="T15" s="9">
        <v>1</v>
      </c>
      <c r="U15" s="9">
        <v>1</v>
      </c>
      <c r="V15" s="9"/>
      <c r="W15" s="9"/>
      <c r="X15" s="9"/>
      <c r="Y15" s="9">
        <v>1</v>
      </c>
      <c r="Z15" s="9">
        <v>3</v>
      </c>
      <c r="AA15" s="9">
        <v>6</v>
      </c>
      <c r="AB15" s="9">
        <v>2</v>
      </c>
      <c r="AC15" s="9"/>
      <c r="AD15" s="9">
        <v>1</v>
      </c>
      <c r="AE15" s="9"/>
      <c r="AF15" s="9">
        <v>2</v>
      </c>
      <c r="AG15" s="9"/>
      <c r="AH15" s="135"/>
      <c r="AI15" s="135"/>
      <c r="AJ15" s="15">
        <f>SUM(C15:AG15)</f>
        <v>48</v>
      </c>
      <c r="AK15" s="137"/>
      <c r="AL15" s="137"/>
      <c r="AM15" s="137"/>
      <c r="AN15" s="138"/>
      <c r="AO15" s="129"/>
      <c r="AP15" s="129"/>
      <c r="AQ15" s="129"/>
      <c r="AR15" s="129"/>
      <c r="AS15" s="130"/>
    </row>
    <row r="16" spans="1:45" x14ac:dyDescent="0.25">
      <c r="A16" s="133"/>
      <c r="B16" s="128"/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36"/>
      <c r="AI16" s="136"/>
      <c r="AJ16" s="16"/>
      <c r="AK16" s="137"/>
      <c r="AL16" s="137"/>
      <c r="AM16" s="137"/>
      <c r="AN16" s="138"/>
      <c r="AO16" s="129"/>
      <c r="AP16" s="129"/>
      <c r="AQ16" s="129"/>
      <c r="AR16" s="129"/>
      <c r="AS16" s="130"/>
    </row>
    <row r="17" spans="1:45" x14ac:dyDescent="0.25">
      <c r="A17" s="131">
        <v>5</v>
      </c>
      <c r="B17" s="123" t="s">
        <v>66</v>
      </c>
      <c r="C17" s="1"/>
      <c r="D17" s="1"/>
      <c r="E17" s="1"/>
      <c r="F17" s="1"/>
      <c r="G17" s="1"/>
      <c r="H17" s="1"/>
      <c r="I17" s="1"/>
      <c r="J17" s="1"/>
      <c r="K17" s="1" t="s">
        <v>41</v>
      </c>
      <c r="L17" s="1" t="s">
        <v>41</v>
      </c>
      <c r="M17" s="1" t="s">
        <v>41</v>
      </c>
      <c r="N17" s="1" t="s">
        <v>41</v>
      </c>
      <c r="O17" s="1" t="s">
        <v>41</v>
      </c>
      <c r="P17" s="1" t="s">
        <v>41</v>
      </c>
      <c r="Q17" s="1" t="s">
        <v>41</v>
      </c>
      <c r="R17" s="1" t="s">
        <v>41</v>
      </c>
      <c r="S17" s="1" t="s">
        <v>41</v>
      </c>
      <c r="T17" s="1" t="s">
        <v>41</v>
      </c>
      <c r="U17" s="1" t="s">
        <v>41</v>
      </c>
      <c r="V17" s="1" t="s">
        <v>41</v>
      </c>
      <c r="W17" s="1" t="s">
        <v>41</v>
      </c>
      <c r="X17" s="1" t="s">
        <v>41</v>
      </c>
      <c r="Y17" s="1" t="s">
        <v>41</v>
      </c>
      <c r="Z17" s="1" t="s">
        <v>41</v>
      </c>
      <c r="AA17" s="1" t="s">
        <v>41</v>
      </c>
      <c r="AB17" s="1" t="s">
        <v>41</v>
      </c>
      <c r="AC17" s="1" t="s">
        <v>41</v>
      </c>
      <c r="AD17" s="1" t="s">
        <v>41</v>
      </c>
      <c r="AE17" s="1" t="s">
        <v>41</v>
      </c>
      <c r="AF17" s="1" t="s">
        <v>41</v>
      </c>
      <c r="AG17" s="1"/>
      <c r="AH17" s="134">
        <f>COUNTIF(C17:AG17,"P")</f>
        <v>22</v>
      </c>
      <c r="AI17" s="134">
        <f>COUNTIF(D17:AH17,"P/2")</f>
        <v>0</v>
      </c>
      <c r="AJ17" s="14"/>
      <c r="AK17" s="137">
        <f>COUNTIF(C19:AG19,"BAAS")</f>
        <v>0</v>
      </c>
      <c r="AL17" s="137">
        <f>COUNTIF(D19:AH19,"RCML")</f>
        <v>0</v>
      </c>
      <c r="AM17" s="137">
        <f>COUNTIF(E19:AJ19,"PRE")</f>
        <v>0</v>
      </c>
      <c r="AN17" s="138">
        <f>COUNTIF(F19:AK19,"BAKR")</f>
        <v>0</v>
      </c>
      <c r="AO17" s="129">
        <v>700</v>
      </c>
      <c r="AP17" s="129">
        <f>AO17*AI17/2</f>
        <v>0</v>
      </c>
      <c r="AQ17" s="129">
        <f>AH17*AO17+AP17</f>
        <v>15400</v>
      </c>
      <c r="AR17" s="129">
        <f>AJ18/8*AO17</f>
        <v>2012.5</v>
      </c>
      <c r="AS17" s="130">
        <f>AQ17+AR17</f>
        <v>17412.5</v>
      </c>
    </row>
    <row r="18" spans="1:45" x14ac:dyDescent="0.25">
      <c r="A18" s="132"/>
      <c r="B18" s="124"/>
      <c r="C18" s="9"/>
      <c r="D18" s="9"/>
      <c r="E18" s="9"/>
      <c r="F18" s="9"/>
      <c r="G18" s="9"/>
      <c r="H18" s="9"/>
      <c r="I18" s="9"/>
      <c r="J18" s="9"/>
      <c r="K18" s="9"/>
      <c r="L18" s="9">
        <v>1</v>
      </c>
      <c r="M18" s="9"/>
      <c r="N18" s="9"/>
      <c r="O18" s="9">
        <v>2</v>
      </c>
      <c r="P18" s="9">
        <v>1</v>
      </c>
      <c r="Q18" s="9"/>
      <c r="R18" s="9">
        <v>2</v>
      </c>
      <c r="S18" s="9"/>
      <c r="T18" s="9"/>
      <c r="U18" s="9">
        <v>1</v>
      </c>
      <c r="V18" s="9">
        <v>2</v>
      </c>
      <c r="W18" s="9">
        <v>1</v>
      </c>
      <c r="X18" s="9"/>
      <c r="Y18" s="9">
        <v>2</v>
      </c>
      <c r="Z18" s="9">
        <v>1</v>
      </c>
      <c r="AA18" s="9"/>
      <c r="AB18" s="9">
        <v>2</v>
      </c>
      <c r="AC18" s="9">
        <v>4</v>
      </c>
      <c r="AD18" s="9">
        <v>2</v>
      </c>
      <c r="AE18" s="9"/>
      <c r="AF18" s="9">
        <v>2</v>
      </c>
      <c r="AG18" s="9"/>
      <c r="AH18" s="135"/>
      <c r="AI18" s="135"/>
      <c r="AJ18" s="15">
        <f>SUM(C18:AG18)</f>
        <v>23</v>
      </c>
      <c r="AK18" s="137"/>
      <c r="AL18" s="137"/>
      <c r="AM18" s="137"/>
      <c r="AN18" s="138"/>
      <c r="AO18" s="129"/>
      <c r="AP18" s="129"/>
      <c r="AQ18" s="129"/>
      <c r="AR18" s="129"/>
      <c r="AS18" s="130"/>
    </row>
    <row r="19" spans="1:45" x14ac:dyDescent="0.25">
      <c r="A19" s="133"/>
      <c r="B19" s="125"/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36"/>
      <c r="AI19" s="136"/>
      <c r="AJ19" s="16"/>
      <c r="AK19" s="137"/>
      <c r="AL19" s="137"/>
      <c r="AM19" s="137"/>
      <c r="AN19" s="138"/>
      <c r="AO19" s="129"/>
      <c r="AP19" s="129"/>
      <c r="AQ19" s="129"/>
      <c r="AR19" s="129"/>
      <c r="AS19" s="130"/>
    </row>
    <row r="20" spans="1:45" x14ac:dyDescent="0.25">
      <c r="A20" s="131">
        <v>6</v>
      </c>
      <c r="B20" s="126" t="s">
        <v>65</v>
      </c>
      <c r="C20" s="1" t="s">
        <v>41</v>
      </c>
      <c r="D20" s="1" t="s">
        <v>41</v>
      </c>
      <c r="E20" s="1" t="s">
        <v>41</v>
      </c>
      <c r="F20" s="1" t="s">
        <v>41</v>
      </c>
      <c r="G20" s="1" t="s">
        <v>41</v>
      </c>
      <c r="H20" s="1" t="s">
        <v>41</v>
      </c>
      <c r="I20" s="1" t="s">
        <v>41</v>
      </c>
      <c r="J20" s="1" t="s">
        <v>41</v>
      </c>
      <c r="K20" s="1" t="s">
        <v>41</v>
      </c>
      <c r="L20" s="1" t="s">
        <v>41</v>
      </c>
      <c r="M20" s="1" t="s">
        <v>41</v>
      </c>
      <c r="N20" s="1" t="s">
        <v>41</v>
      </c>
      <c r="O20" s="1" t="s">
        <v>41</v>
      </c>
      <c r="P20" s="1" t="s">
        <v>41</v>
      </c>
      <c r="Q20" s="1" t="s">
        <v>41</v>
      </c>
      <c r="R20" s="1" t="s">
        <v>41</v>
      </c>
      <c r="S20" s="1" t="s">
        <v>41</v>
      </c>
      <c r="T20" s="1" t="s">
        <v>41</v>
      </c>
      <c r="U20" s="1" t="s">
        <v>41</v>
      </c>
      <c r="V20" s="1" t="s">
        <v>52</v>
      </c>
      <c r="W20" s="1" t="s">
        <v>41</v>
      </c>
      <c r="X20" s="1" t="s">
        <v>41</v>
      </c>
      <c r="Y20" s="1" t="s">
        <v>41</v>
      </c>
      <c r="Z20" s="1" t="s">
        <v>41</v>
      </c>
      <c r="AA20" s="1" t="s">
        <v>41</v>
      </c>
      <c r="AB20" s="1" t="s">
        <v>41</v>
      </c>
      <c r="AC20" s="1" t="s">
        <v>41</v>
      </c>
      <c r="AD20" s="1" t="s">
        <v>41</v>
      </c>
      <c r="AE20" s="1" t="s">
        <v>41</v>
      </c>
      <c r="AF20" s="1" t="s">
        <v>41</v>
      </c>
      <c r="AG20" s="1"/>
      <c r="AH20" s="134">
        <f>COUNTIF(C20:AG20,"P")</f>
        <v>29</v>
      </c>
      <c r="AI20" s="134">
        <f>COUNTIF(D20:AH20,"P/2")</f>
        <v>0</v>
      </c>
      <c r="AJ20" s="14"/>
      <c r="AK20" s="137">
        <f>COUNTIF(C22:AG22,"BAAS")</f>
        <v>0</v>
      </c>
      <c r="AL20" s="137">
        <f>COUNTIF(D22:AH22,"RCML")</f>
        <v>0</v>
      </c>
      <c r="AM20" s="137">
        <f>COUNTIF(E22:AJ22,"PRE")</f>
        <v>0</v>
      </c>
      <c r="AN20" s="138">
        <f>COUNTIF(F22:AK22,"BAKR")</f>
        <v>0</v>
      </c>
      <c r="AO20" s="129">
        <v>700</v>
      </c>
      <c r="AP20" s="129">
        <f>AO20*AI20/2</f>
        <v>0</v>
      </c>
      <c r="AQ20" s="129">
        <f>AH20*AO20+AP20</f>
        <v>20300</v>
      </c>
      <c r="AR20" s="129">
        <f>AJ21/8*AO20</f>
        <v>3587.5</v>
      </c>
      <c r="AS20" s="130">
        <f>AQ20+AR20</f>
        <v>23887.5</v>
      </c>
    </row>
    <row r="21" spans="1:45" x14ac:dyDescent="0.25">
      <c r="A21" s="132"/>
      <c r="B21" s="127"/>
      <c r="C21" s="9">
        <v>2</v>
      </c>
      <c r="D21" s="9">
        <v>2</v>
      </c>
      <c r="E21" s="9">
        <v>2</v>
      </c>
      <c r="F21" s="9">
        <v>3</v>
      </c>
      <c r="G21" s="9">
        <v>4</v>
      </c>
      <c r="H21" s="9">
        <v>2</v>
      </c>
      <c r="I21" s="9">
        <v>2</v>
      </c>
      <c r="J21" s="9"/>
      <c r="K21" s="9"/>
      <c r="L21" s="9">
        <v>3</v>
      </c>
      <c r="M21" s="9"/>
      <c r="N21" s="9"/>
      <c r="O21" s="9"/>
      <c r="P21" s="9">
        <v>4</v>
      </c>
      <c r="Q21" s="9">
        <v>1</v>
      </c>
      <c r="R21" s="9">
        <v>1</v>
      </c>
      <c r="S21" s="9"/>
      <c r="T21" s="9">
        <v>1</v>
      </c>
      <c r="U21" s="9">
        <v>1</v>
      </c>
      <c r="V21" s="9"/>
      <c r="W21" s="9"/>
      <c r="X21" s="9"/>
      <c r="Y21" s="9">
        <v>1</v>
      </c>
      <c r="Z21" s="9">
        <v>1</v>
      </c>
      <c r="AA21" s="9">
        <v>4</v>
      </c>
      <c r="AB21" s="9"/>
      <c r="AC21" s="9"/>
      <c r="AD21" s="9">
        <v>2</v>
      </c>
      <c r="AE21" s="9">
        <v>3</v>
      </c>
      <c r="AF21" s="9">
        <v>2</v>
      </c>
      <c r="AG21" s="9"/>
      <c r="AH21" s="135"/>
      <c r="AI21" s="135"/>
      <c r="AJ21" s="15">
        <f>SUM(C21:AG21)</f>
        <v>41</v>
      </c>
      <c r="AK21" s="137"/>
      <c r="AL21" s="137"/>
      <c r="AM21" s="137"/>
      <c r="AN21" s="138"/>
      <c r="AO21" s="129"/>
      <c r="AP21" s="129"/>
      <c r="AQ21" s="129"/>
      <c r="AR21" s="129"/>
      <c r="AS21" s="130"/>
    </row>
    <row r="22" spans="1:45" x14ac:dyDescent="0.25">
      <c r="A22" s="133"/>
      <c r="B22" s="128"/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36"/>
      <c r="AI22" s="136"/>
      <c r="AJ22" s="16"/>
      <c r="AK22" s="137"/>
      <c r="AL22" s="137"/>
      <c r="AM22" s="137"/>
      <c r="AN22" s="138"/>
      <c r="AO22" s="129"/>
      <c r="AP22" s="129"/>
      <c r="AQ22" s="129"/>
      <c r="AR22" s="129"/>
      <c r="AS22" s="130"/>
    </row>
    <row r="23" spans="1:45" x14ac:dyDescent="0.25">
      <c r="A23" s="131">
        <v>7</v>
      </c>
      <c r="B23" s="126" t="s">
        <v>64</v>
      </c>
      <c r="C23" s="1" t="s">
        <v>41</v>
      </c>
      <c r="D23" s="1" t="s">
        <v>41</v>
      </c>
      <c r="E23" s="1" t="s">
        <v>41</v>
      </c>
      <c r="F23" s="1" t="s">
        <v>41</v>
      </c>
      <c r="G23" s="1" t="s">
        <v>52</v>
      </c>
      <c r="H23" s="1" t="s">
        <v>41</v>
      </c>
      <c r="I23" s="1" t="s">
        <v>41</v>
      </c>
      <c r="J23" s="1" t="s">
        <v>41</v>
      </c>
      <c r="K23" s="1" t="s">
        <v>41</v>
      </c>
      <c r="L23" s="1" t="s">
        <v>41</v>
      </c>
      <c r="M23" s="1" t="s">
        <v>56</v>
      </c>
      <c r="N23" s="1" t="s">
        <v>41</v>
      </c>
      <c r="O23" s="1" t="s">
        <v>52</v>
      </c>
      <c r="P23" s="1" t="s">
        <v>52</v>
      </c>
      <c r="Q23" s="1" t="s">
        <v>52</v>
      </c>
      <c r="R23" s="1" t="s">
        <v>41</v>
      </c>
      <c r="S23" s="1" t="s">
        <v>41</v>
      </c>
      <c r="T23" s="1" t="s">
        <v>41</v>
      </c>
      <c r="U23" s="1" t="s">
        <v>41</v>
      </c>
      <c r="V23" s="1" t="s">
        <v>41</v>
      </c>
      <c r="W23" s="1" t="s">
        <v>41</v>
      </c>
      <c r="X23" s="1" t="s">
        <v>41</v>
      </c>
      <c r="Y23" s="1" t="s">
        <v>41</v>
      </c>
      <c r="Z23" s="1" t="s">
        <v>41</v>
      </c>
      <c r="AA23" s="1" t="s">
        <v>41</v>
      </c>
      <c r="AB23" s="1" t="s">
        <v>41</v>
      </c>
      <c r="AC23" s="1" t="s">
        <v>41</v>
      </c>
      <c r="AD23" s="1" t="s">
        <v>52</v>
      </c>
      <c r="AE23" s="1" t="s">
        <v>41</v>
      </c>
      <c r="AF23" s="1" t="s">
        <v>41</v>
      </c>
      <c r="AG23" s="1"/>
      <c r="AH23" s="134">
        <f>COUNTIF(C23:AG23,"P")</f>
        <v>24</v>
      </c>
      <c r="AI23" s="134">
        <f>COUNTIF(D23:AH23,"P/2")</f>
        <v>1</v>
      </c>
      <c r="AJ23" s="14"/>
      <c r="AK23" s="137">
        <f>COUNTIF(C25:AG25,"BAAS")</f>
        <v>0</v>
      </c>
      <c r="AL23" s="137">
        <f>COUNTIF(D25:AH25,"RCML")</f>
        <v>0</v>
      </c>
      <c r="AM23" s="137">
        <f>COUNTIF(E25:AJ25,"PRE")</f>
        <v>0</v>
      </c>
      <c r="AN23" s="138">
        <f>COUNTIF(F25:AK25,"BAKR")</f>
        <v>0</v>
      </c>
      <c r="AO23" s="139">
        <v>700</v>
      </c>
      <c r="AP23" s="129">
        <f>AO23*AI23/2</f>
        <v>350</v>
      </c>
      <c r="AQ23" s="129">
        <f>AH23*AO23+AP23</f>
        <v>17150</v>
      </c>
      <c r="AR23" s="129">
        <f>AJ24/8*AO23</f>
        <v>2712.5</v>
      </c>
      <c r="AS23" s="130">
        <f>AQ23+AR23</f>
        <v>19862.5</v>
      </c>
    </row>
    <row r="24" spans="1:45" x14ac:dyDescent="0.25">
      <c r="A24" s="132"/>
      <c r="B24" s="127"/>
      <c r="C24" s="9"/>
      <c r="D24" s="9">
        <v>3</v>
      </c>
      <c r="E24" s="9">
        <v>2</v>
      </c>
      <c r="F24" s="9">
        <v>3</v>
      </c>
      <c r="G24" s="9"/>
      <c r="H24" s="9">
        <v>2</v>
      </c>
      <c r="I24" s="9">
        <v>6</v>
      </c>
      <c r="J24" s="9"/>
      <c r="K24" s="9"/>
      <c r="L24" s="9"/>
      <c r="M24" s="9"/>
      <c r="N24" s="9"/>
      <c r="O24" s="9"/>
      <c r="P24" s="9"/>
      <c r="Q24" s="9"/>
      <c r="R24" s="9">
        <v>2</v>
      </c>
      <c r="S24" s="9"/>
      <c r="T24" s="9"/>
      <c r="U24" s="9">
        <v>1</v>
      </c>
      <c r="V24" s="9">
        <v>2</v>
      </c>
      <c r="W24" s="9">
        <v>1</v>
      </c>
      <c r="X24" s="9"/>
      <c r="Y24" s="9">
        <v>2</v>
      </c>
      <c r="Z24" s="9">
        <v>1</v>
      </c>
      <c r="AA24" s="9"/>
      <c r="AB24" s="9">
        <v>2</v>
      </c>
      <c r="AC24" s="9"/>
      <c r="AD24" s="9">
        <v>2</v>
      </c>
      <c r="AE24" s="9"/>
      <c r="AF24" s="9">
        <v>2</v>
      </c>
      <c r="AG24" s="9"/>
      <c r="AH24" s="135"/>
      <c r="AI24" s="135"/>
      <c r="AJ24" s="15">
        <f>SUM(C24:AG24)</f>
        <v>31</v>
      </c>
      <c r="AK24" s="137"/>
      <c r="AL24" s="137"/>
      <c r="AM24" s="137"/>
      <c r="AN24" s="138"/>
      <c r="AO24" s="140"/>
      <c r="AP24" s="129"/>
      <c r="AQ24" s="129"/>
      <c r="AR24" s="129"/>
      <c r="AS24" s="130"/>
    </row>
    <row r="25" spans="1:45" x14ac:dyDescent="0.25">
      <c r="A25" s="133"/>
      <c r="B25" s="128"/>
      <c r="C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36"/>
      <c r="AI25" s="136"/>
      <c r="AJ25" s="16"/>
      <c r="AK25" s="137"/>
      <c r="AL25" s="137"/>
      <c r="AM25" s="137"/>
      <c r="AN25" s="138"/>
      <c r="AO25" s="141"/>
      <c r="AP25" s="129"/>
      <c r="AQ25" s="129"/>
      <c r="AR25" s="129"/>
      <c r="AS25" s="130"/>
    </row>
    <row r="26" spans="1:45" x14ac:dyDescent="0.25">
      <c r="A26" s="131">
        <v>8</v>
      </c>
      <c r="B26" s="123" t="s">
        <v>68</v>
      </c>
      <c r="C26" s="1" t="s">
        <v>41</v>
      </c>
      <c r="D26" s="1" t="s">
        <v>41</v>
      </c>
      <c r="E26" s="1" t="s">
        <v>41</v>
      </c>
      <c r="F26" s="1" t="s">
        <v>41</v>
      </c>
      <c r="G26" s="1" t="s">
        <v>41</v>
      </c>
      <c r="H26" s="1" t="s">
        <v>41</v>
      </c>
      <c r="I26" s="1" t="s">
        <v>41</v>
      </c>
      <c r="J26" s="1" t="s">
        <v>41</v>
      </c>
      <c r="K26" s="1" t="s">
        <v>41</v>
      </c>
      <c r="L26" s="1" t="s">
        <v>41</v>
      </c>
      <c r="M26" s="1" t="s">
        <v>41</v>
      </c>
      <c r="N26" s="1" t="s">
        <v>41</v>
      </c>
      <c r="O26" s="1" t="s">
        <v>41</v>
      </c>
      <c r="P26" s="1" t="s">
        <v>41</v>
      </c>
      <c r="Q26" s="1" t="s">
        <v>41</v>
      </c>
      <c r="R26" s="1" t="s">
        <v>41</v>
      </c>
      <c r="S26" s="1" t="s">
        <v>41</v>
      </c>
      <c r="T26" s="1" t="s">
        <v>41</v>
      </c>
      <c r="U26" s="1" t="s">
        <v>41</v>
      </c>
      <c r="V26" s="1" t="s">
        <v>41</v>
      </c>
      <c r="W26" s="1" t="s">
        <v>41</v>
      </c>
      <c r="X26" s="1" t="s">
        <v>41</v>
      </c>
      <c r="Y26" s="1" t="s">
        <v>41</v>
      </c>
      <c r="Z26" s="1" t="s">
        <v>41</v>
      </c>
      <c r="AA26" s="1" t="s">
        <v>41</v>
      </c>
      <c r="AB26" s="1" t="s">
        <v>41</v>
      </c>
      <c r="AC26" s="1" t="s">
        <v>41</v>
      </c>
      <c r="AD26" s="1" t="s">
        <v>41</v>
      </c>
      <c r="AE26" s="1" t="s">
        <v>41</v>
      </c>
      <c r="AF26" s="1" t="s">
        <v>52</v>
      </c>
      <c r="AG26" s="1"/>
      <c r="AH26" s="134">
        <f>COUNTIF(C26:AG26,"P")</f>
        <v>29</v>
      </c>
      <c r="AI26" s="134">
        <f>COUNTIF(D26:AH26,"P/2")</f>
        <v>0</v>
      </c>
      <c r="AJ26" s="15"/>
      <c r="AK26" s="137">
        <f>COUNTIF(C28:AG28,"BAAS")</f>
        <v>0</v>
      </c>
      <c r="AL26" s="137">
        <f>COUNTIF(D28:AH28,"RCML")</f>
        <v>0</v>
      </c>
      <c r="AM26" s="137">
        <f>COUNTIF(E28:AJ28,"PRE")</f>
        <v>0</v>
      </c>
      <c r="AN26" s="138">
        <f>COUNTIF(F28:AK28,"BAKR")</f>
        <v>0</v>
      </c>
      <c r="AO26" s="139">
        <v>600</v>
      </c>
      <c r="AP26" s="129">
        <f>AO26*AI26/2</f>
        <v>0</v>
      </c>
      <c r="AQ26" s="129">
        <f>AH26*AO26+AP26</f>
        <v>17400</v>
      </c>
      <c r="AR26" s="129">
        <f>AJ27/8*AO26</f>
        <v>2475</v>
      </c>
      <c r="AS26" s="130">
        <f>AQ26+AR26</f>
        <v>19875</v>
      </c>
    </row>
    <row r="27" spans="1:45" x14ac:dyDescent="0.25">
      <c r="A27" s="132"/>
      <c r="B27" s="124"/>
      <c r="C27" s="9">
        <v>2</v>
      </c>
      <c r="D27" s="9">
        <v>3</v>
      </c>
      <c r="E27" s="9">
        <v>1</v>
      </c>
      <c r="F27" s="9">
        <v>3</v>
      </c>
      <c r="G27" s="9"/>
      <c r="H27" s="9">
        <v>2</v>
      </c>
      <c r="I27" s="9">
        <v>2</v>
      </c>
      <c r="J27" s="9"/>
      <c r="K27" s="9"/>
      <c r="L27" s="9">
        <v>1</v>
      </c>
      <c r="M27" s="9"/>
      <c r="N27" s="9"/>
      <c r="O27" s="9">
        <v>2</v>
      </c>
      <c r="P27" s="9"/>
      <c r="Q27" s="9"/>
      <c r="R27" s="9">
        <v>2</v>
      </c>
      <c r="S27" s="9"/>
      <c r="T27" s="9"/>
      <c r="U27" s="9">
        <v>1</v>
      </c>
      <c r="V27" s="9">
        <v>2</v>
      </c>
      <c r="W27" s="9">
        <v>1</v>
      </c>
      <c r="X27" s="9"/>
      <c r="Y27" s="9">
        <v>2</v>
      </c>
      <c r="Z27" s="9">
        <v>1</v>
      </c>
      <c r="AA27" s="9"/>
      <c r="AB27" s="9">
        <v>2</v>
      </c>
      <c r="AC27" s="9">
        <v>4</v>
      </c>
      <c r="AD27" s="9">
        <v>2</v>
      </c>
      <c r="AE27" s="9"/>
      <c r="AF27" s="9"/>
      <c r="AG27" s="9"/>
      <c r="AH27" s="135"/>
      <c r="AI27" s="135"/>
      <c r="AJ27" s="15">
        <f>SUM(C27:AG27)</f>
        <v>33</v>
      </c>
      <c r="AK27" s="137"/>
      <c r="AL27" s="137"/>
      <c r="AM27" s="137"/>
      <c r="AN27" s="138"/>
      <c r="AO27" s="140"/>
      <c r="AP27" s="129"/>
      <c r="AQ27" s="129"/>
      <c r="AR27" s="129"/>
      <c r="AS27" s="130"/>
    </row>
    <row r="28" spans="1:45" x14ac:dyDescent="0.25">
      <c r="A28" s="133"/>
      <c r="B28" s="125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36"/>
      <c r="AI28" s="136"/>
      <c r="AJ28" s="16"/>
      <c r="AK28" s="137"/>
      <c r="AL28" s="137"/>
      <c r="AM28" s="137"/>
      <c r="AN28" s="138"/>
      <c r="AO28" s="141"/>
      <c r="AP28" s="129"/>
      <c r="AQ28" s="129"/>
      <c r="AR28" s="129"/>
      <c r="AS28" s="130"/>
    </row>
    <row r="29" spans="1:45" x14ac:dyDescent="0.25">
      <c r="A29" s="131">
        <v>9</v>
      </c>
      <c r="B29" s="123" t="s">
        <v>69</v>
      </c>
      <c r="C29" s="1" t="s">
        <v>41</v>
      </c>
      <c r="D29" s="1" t="s">
        <v>52</v>
      </c>
      <c r="E29" s="1" t="s">
        <v>41</v>
      </c>
      <c r="F29" s="1" t="s">
        <v>41</v>
      </c>
      <c r="G29" s="1" t="s">
        <v>41</v>
      </c>
      <c r="H29" s="1" t="s">
        <v>41</v>
      </c>
      <c r="I29" s="1" t="s">
        <v>41</v>
      </c>
      <c r="J29" s="1" t="s">
        <v>41</v>
      </c>
      <c r="K29" s="1" t="s">
        <v>41</v>
      </c>
      <c r="L29" s="1" t="s">
        <v>41</v>
      </c>
      <c r="M29" s="1" t="s">
        <v>41</v>
      </c>
      <c r="N29" s="1" t="s">
        <v>41</v>
      </c>
      <c r="O29" s="1" t="s">
        <v>41</v>
      </c>
      <c r="P29" s="1" t="s">
        <v>41</v>
      </c>
      <c r="Q29" s="1" t="s">
        <v>41</v>
      </c>
      <c r="R29" s="1" t="s">
        <v>52</v>
      </c>
      <c r="S29" s="1" t="s">
        <v>52</v>
      </c>
      <c r="T29" s="1" t="s">
        <v>41</v>
      </c>
      <c r="U29" s="1" t="s">
        <v>41</v>
      </c>
      <c r="V29" s="1" t="s">
        <v>41</v>
      </c>
      <c r="W29" s="1" t="s">
        <v>41</v>
      </c>
      <c r="X29" s="1" t="s">
        <v>41</v>
      </c>
      <c r="Y29" s="1" t="s">
        <v>41</v>
      </c>
      <c r="Z29" s="1" t="s">
        <v>41</v>
      </c>
      <c r="AA29" s="1" t="s">
        <v>41</v>
      </c>
      <c r="AB29" s="1" t="s">
        <v>41</v>
      </c>
      <c r="AC29" s="1" t="s">
        <v>41</v>
      </c>
      <c r="AD29" s="1" t="s">
        <v>41</v>
      </c>
      <c r="AE29" s="1" t="s">
        <v>41</v>
      </c>
      <c r="AF29" s="1" t="s">
        <v>52</v>
      </c>
      <c r="AG29" s="1"/>
      <c r="AH29" s="134">
        <f>COUNTIF(C29:AG29,"P")</f>
        <v>26</v>
      </c>
      <c r="AI29" s="134">
        <f>COUNTIF(D29:AH29,"P/2")</f>
        <v>0</v>
      </c>
      <c r="AJ29" s="15"/>
      <c r="AK29" s="137">
        <f>COUNTIF(C31:AG31,"BAAS")</f>
        <v>0</v>
      </c>
      <c r="AL29" s="137">
        <f>COUNTIF(D31:AH31,"RCML")</f>
        <v>0</v>
      </c>
      <c r="AM29" s="137">
        <f>COUNTIF(E31:AJ31,"PRE")</f>
        <v>0</v>
      </c>
      <c r="AN29" s="138">
        <f>COUNTIF(F31:AK31,"BAKR")</f>
        <v>0</v>
      </c>
      <c r="AO29" s="139">
        <v>700</v>
      </c>
      <c r="AP29" s="129">
        <f>AO29*AI29/2</f>
        <v>0</v>
      </c>
      <c r="AQ29" s="129">
        <f>AH29*AO29+AP29</f>
        <v>18200</v>
      </c>
      <c r="AR29" s="129">
        <f>AJ30/8*AO29</f>
        <v>2625</v>
      </c>
      <c r="AS29" s="130">
        <f>AQ29+AR29</f>
        <v>20825</v>
      </c>
    </row>
    <row r="30" spans="1:45" x14ac:dyDescent="0.25">
      <c r="A30" s="132"/>
      <c r="B30" s="124"/>
      <c r="C30" s="9"/>
      <c r="D30" s="9"/>
      <c r="E30" s="9"/>
      <c r="F30" s="9">
        <v>3</v>
      </c>
      <c r="G30" s="9">
        <v>4</v>
      </c>
      <c r="H30" s="9">
        <v>2</v>
      </c>
      <c r="I30" s="9">
        <v>2</v>
      </c>
      <c r="J30" s="9"/>
      <c r="K30" s="9"/>
      <c r="L30" s="9">
        <v>1</v>
      </c>
      <c r="M30" s="9"/>
      <c r="N30" s="9"/>
      <c r="O30" s="9"/>
      <c r="P30" s="9">
        <v>1</v>
      </c>
      <c r="Q30" s="9"/>
      <c r="R30" s="9"/>
      <c r="S30" s="9"/>
      <c r="T30" s="9"/>
      <c r="U30" s="9">
        <v>1</v>
      </c>
      <c r="V30" s="9">
        <v>2</v>
      </c>
      <c r="W30" s="9">
        <v>1</v>
      </c>
      <c r="X30" s="9"/>
      <c r="Y30" s="9">
        <v>2</v>
      </c>
      <c r="Z30" s="9"/>
      <c r="AA30" s="9"/>
      <c r="AB30" s="9">
        <v>2</v>
      </c>
      <c r="AC30" s="9">
        <v>4</v>
      </c>
      <c r="AD30" s="9">
        <v>2</v>
      </c>
      <c r="AE30" s="9">
        <v>3</v>
      </c>
      <c r="AF30" s="9"/>
      <c r="AG30" s="9"/>
      <c r="AH30" s="135"/>
      <c r="AI30" s="135"/>
      <c r="AJ30" s="15">
        <f>SUM(C30:AG30)</f>
        <v>30</v>
      </c>
      <c r="AK30" s="137"/>
      <c r="AL30" s="137"/>
      <c r="AM30" s="137"/>
      <c r="AN30" s="138"/>
      <c r="AO30" s="140"/>
      <c r="AP30" s="129"/>
      <c r="AQ30" s="129"/>
      <c r="AR30" s="129"/>
      <c r="AS30" s="130"/>
    </row>
    <row r="31" spans="1:45" x14ac:dyDescent="0.25">
      <c r="A31" s="133"/>
      <c r="B31" s="125"/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36"/>
      <c r="AI31" s="136"/>
      <c r="AJ31" s="16"/>
      <c r="AK31" s="137"/>
      <c r="AL31" s="137"/>
      <c r="AM31" s="137"/>
      <c r="AN31" s="138"/>
      <c r="AO31" s="141"/>
      <c r="AP31" s="129"/>
      <c r="AQ31" s="129"/>
      <c r="AR31" s="129"/>
      <c r="AS31" s="130"/>
    </row>
    <row r="32" spans="1:45" x14ac:dyDescent="0.25">
      <c r="A32" s="131">
        <v>10</v>
      </c>
      <c r="B32" s="123" t="s">
        <v>70</v>
      </c>
      <c r="C32" s="1" t="s">
        <v>41</v>
      </c>
      <c r="D32" s="1" t="s">
        <v>41</v>
      </c>
      <c r="E32" s="1" t="s">
        <v>41</v>
      </c>
      <c r="F32" s="1" t="s">
        <v>41</v>
      </c>
      <c r="G32" s="1" t="s">
        <v>41</v>
      </c>
      <c r="H32" s="1" t="s">
        <v>41</v>
      </c>
      <c r="I32" s="1" t="s">
        <v>41</v>
      </c>
      <c r="J32" s="1" t="s">
        <v>41</v>
      </c>
      <c r="K32" s="1" t="s">
        <v>41</v>
      </c>
      <c r="L32" s="1" t="s">
        <v>41</v>
      </c>
      <c r="M32" s="1" t="s">
        <v>52</v>
      </c>
      <c r="N32" s="1" t="s">
        <v>52</v>
      </c>
      <c r="O32" s="1" t="s">
        <v>41</v>
      </c>
      <c r="P32" s="1" t="s">
        <v>41</v>
      </c>
      <c r="Q32" s="1" t="s">
        <v>41</v>
      </c>
      <c r="R32" s="1" t="s">
        <v>41</v>
      </c>
      <c r="S32" s="1" t="s">
        <v>41</v>
      </c>
      <c r="T32" s="1" t="s">
        <v>41</v>
      </c>
      <c r="U32" s="1" t="s">
        <v>41</v>
      </c>
      <c r="V32" s="1" t="s">
        <v>41</v>
      </c>
      <c r="W32" s="1" t="s">
        <v>41</v>
      </c>
      <c r="X32" s="1" t="s">
        <v>41</v>
      </c>
      <c r="Y32" s="1" t="s">
        <v>41</v>
      </c>
      <c r="Z32" s="1" t="s">
        <v>41</v>
      </c>
      <c r="AA32" s="1" t="s">
        <v>41</v>
      </c>
      <c r="AB32" s="1" t="s">
        <v>41</v>
      </c>
      <c r="AC32" s="1" t="s">
        <v>41</v>
      </c>
      <c r="AD32" s="1" t="s">
        <v>41</v>
      </c>
      <c r="AE32" s="1" t="s">
        <v>41</v>
      </c>
      <c r="AF32" s="1" t="s">
        <v>41</v>
      </c>
      <c r="AG32" s="1"/>
      <c r="AH32" s="134">
        <f>COUNTIF(C32:AG32,"P")</f>
        <v>28</v>
      </c>
      <c r="AI32" s="134">
        <f>COUNTIF(D32:AH32,"P/2")</f>
        <v>0</v>
      </c>
      <c r="AJ32" s="15"/>
      <c r="AK32" s="137">
        <f>COUNTIF(C34:AG34,"BAAS")</f>
        <v>0</v>
      </c>
      <c r="AL32" s="137">
        <f>COUNTIF(D34:AH34,"RCML")</f>
        <v>0</v>
      </c>
      <c r="AM32" s="137">
        <f>COUNTIF(E34:AJ34,"PRE")</f>
        <v>0</v>
      </c>
      <c r="AN32" s="138">
        <f>COUNTIF(F34:AK34,"BAKR")</f>
        <v>0</v>
      </c>
      <c r="AO32" s="139">
        <v>600</v>
      </c>
      <c r="AP32" s="129">
        <f>AO32*AI32/2</f>
        <v>0</v>
      </c>
      <c r="AQ32" s="129">
        <f>AH32*AO32+AP32</f>
        <v>16800</v>
      </c>
      <c r="AR32" s="129">
        <f>AJ33/8*AO32</f>
        <v>3600</v>
      </c>
      <c r="AS32" s="130">
        <f>AQ32+AR32</f>
        <v>20400</v>
      </c>
    </row>
    <row r="33" spans="1:45" x14ac:dyDescent="0.25">
      <c r="A33" s="132"/>
      <c r="B33" s="124"/>
      <c r="C33" s="9">
        <v>2</v>
      </c>
      <c r="D33" s="9">
        <v>3</v>
      </c>
      <c r="E33" s="9">
        <v>3</v>
      </c>
      <c r="F33" s="9">
        <v>4</v>
      </c>
      <c r="G33" s="9">
        <v>3</v>
      </c>
      <c r="H33" s="9">
        <v>2</v>
      </c>
      <c r="I33" s="9">
        <v>2</v>
      </c>
      <c r="J33" s="9"/>
      <c r="K33" s="9"/>
      <c r="L33" s="9">
        <v>1</v>
      </c>
      <c r="M33" s="9"/>
      <c r="N33" s="9"/>
      <c r="O33" s="9">
        <v>2</v>
      </c>
      <c r="P33" s="9">
        <v>4</v>
      </c>
      <c r="Q33" s="9">
        <v>1</v>
      </c>
      <c r="R33" s="9">
        <v>2</v>
      </c>
      <c r="S33" s="9"/>
      <c r="T33" s="9"/>
      <c r="U33" s="9">
        <v>1</v>
      </c>
      <c r="V33" s="9">
        <v>2</v>
      </c>
      <c r="W33" s="9">
        <v>1</v>
      </c>
      <c r="X33" s="9"/>
      <c r="Y33" s="9">
        <v>2</v>
      </c>
      <c r="Z33" s="9"/>
      <c r="AA33" s="9"/>
      <c r="AB33" s="9">
        <v>2</v>
      </c>
      <c r="AC33" s="9">
        <v>4</v>
      </c>
      <c r="AD33" s="9">
        <v>2</v>
      </c>
      <c r="AE33" s="9">
        <v>3</v>
      </c>
      <c r="AF33" s="9">
        <v>2</v>
      </c>
      <c r="AG33" s="9"/>
      <c r="AH33" s="135"/>
      <c r="AI33" s="135"/>
      <c r="AJ33" s="27">
        <f>SUM(C33:AG33)</f>
        <v>48</v>
      </c>
      <c r="AK33" s="137"/>
      <c r="AL33" s="137"/>
      <c r="AM33" s="137"/>
      <c r="AN33" s="138"/>
      <c r="AO33" s="140"/>
      <c r="AP33" s="129"/>
      <c r="AQ33" s="129"/>
      <c r="AR33" s="129"/>
      <c r="AS33" s="130"/>
    </row>
    <row r="34" spans="1:45" x14ac:dyDescent="0.25">
      <c r="A34" s="133"/>
      <c r="B34" s="125"/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36"/>
      <c r="AI34" s="136"/>
      <c r="AJ34" s="16"/>
      <c r="AK34" s="137"/>
      <c r="AL34" s="137"/>
      <c r="AM34" s="137"/>
      <c r="AN34" s="138"/>
      <c r="AO34" s="141"/>
      <c r="AP34" s="129"/>
      <c r="AQ34" s="129"/>
      <c r="AR34" s="129"/>
      <c r="AS34" s="130"/>
    </row>
    <row r="35" spans="1:45" x14ac:dyDescent="0.25">
      <c r="A35" s="131">
        <v>11</v>
      </c>
      <c r="B35" s="123" t="s">
        <v>72</v>
      </c>
      <c r="C35" s="1" t="s">
        <v>41</v>
      </c>
      <c r="D35" s="1" t="s">
        <v>41</v>
      </c>
      <c r="E35" s="1" t="s">
        <v>41</v>
      </c>
      <c r="F35" s="1" t="s">
        <v>41</v>
      </c>
      <c r="G35" s="1" t="s">
        <v>41</v>
      </c>
      <c r="H35" s="1" t="s">
        <v>41</v>
      </c>
      <c r="I35" s="1" t="s">
        <v>41</v>
      </c>
      <c r="J35" s="1" t="s">
        <v>41</v>
      </c>
      <c r="K35" s="1" t="s">
        <v>41</v>
      </c>
      <c r="L35" s="1" t="s">
        <v>41</v>
      </c>
      <c r="M35" s="1" t="s">
        <v>41</v>
      </c>
      <c r="N35" s="1" t="s">
        <v>41</v>
      </c>
      <c r="O35" s="1" t="s">
        <v>41</v>
      </c>
      <c r="P35" s="1" t="s">
        <v>41</v>
      </c>
      <c r="Q35" s="1" t="s">
        <v>41</v>
      </c>
      <c r="R35" s="1" t="s">
        <v>41</v>
      </c>
      <c r="S35" s="1" t="s">
        <v>41</v>
      </c>
      <c r="T35" s="1" t="s">
        <v>41</v>
      </c>
      <c r="U35" s="1" t="s">
        <v>41</v>
      </c>
      <c r="V35" s="1" t="s">
        <v>52</v>
      </c>
      <c r="W35" s="1" t="s">
        <v>41</v>
      </c>
      <c r="X35" s="1" t="s">
        <v>41</v>
      </c>
      <c r="Y35" s="1" t="s">
        <v>41</v>
      </c>
      <c r="Z35" s="1" t="s">
        <v>41</v>
      </c>
      <c r="AA35" s="1" t="s">
        <v>52</v>
      </c>
      <c r="AB35" s="1" t="s">
        <v>41</v>
      </c>
      <c r="AC35" s="1" t="s">
        <v>41</v>
      </c>
      <c r="AD35" s="1" t="s">
        <v>41</v>
      </c>
      <c r="AE35" s="1" t="s">
        <v>41</v>
      </c>
      <c r="AF35" s="1" t="s">
        <v>41</v>
      </c>
      <c r="AG35" s="1"/>
      <c r="AH35" s="134">
        <f>COUNTIF(C35:AG35,"P")</f>
        <v>28</v>
      </c>
      <c r="AI35" s="134">
        <f>COUNTIF(D35:AH35,"P/2")</f>
        <v>0</v>
      </c>
      <c r="AJ35" s="15"/>
      <c r="AK35" s="137">
        <f>COUNTIF(C37:AG37,"BAAS")</f>
        <v>0</v>
      </c>
      <c r="AL35" s="137">
        <f>COUNTIF(D37:AH37,"RCML")</f>
        <v>0</v>
      </c>
      <c r="AM35" s="137">
        <f>COUNTIF(E37:AJ37,"PRE")</f>
        <v>0</v>
      </c>
      <c r="AN35" s="138">
        <f>COUNTIF(F37:AK37,"BAKR")</f>
        <v>0</v>
      </c>
      <c r="AO35" s="139">
        <v>700</v>
      </c>
      <c r="AP35" s="129">
        <f>AO35*AI35/2</f>
        <v>0</v>
      </c>
      <c r="AQ35" s="129">
        <f>AH35*AO35+AP35</f>
        <v>19600</v>
      </c>
      <c r="AR35" s="129">
        <f>AJ36/8*AO35</f>
        <v>4287.5</v>
      </c>
      <c r="AS35" s="130">
        <f>AQ35+AR35</f>
        <v>23887.5</v>
      </c>
    </row>
    <row r="36" spans="1:45" x14ac:dyDescent="0.25">
      <c r="A36" s="132"/>
      <c r="B36" s="124"/>
      <c r="C36" s="9">
        <v>2</v>
      </c>
      <c r="D36" s="9">
        <v>3</v>
      </c>
      <c r="E36" s="9">
        <v>3</v>
      </c>
      <c r="F36" s="9">
        <v>3</v>
      </c>
      <c r="G36" s="9">
        <v>4</v>
      </c>
      <c r="H36" s="9">
        <v>2</v>
      </c>
      <c r="I36" s="9">
        <v>6</v>
      </c>
      <c r="J36" s="9"/>
      <c r="K36" s="9"/>
      <c r="L36" s="9">
        <v>2</v>
      </c>
      <c r="M36" s="9"/>
      <c r="N36" s="9"/>
      <c r="O36" s="9">
        <v>1</v>
      </c>
      <c r="P36" s="9">
        <v>4</v>
      </c>
      <c r="Q36" s="9">
        <v>1</v>
      </c>
      <c r="R36" s="9">
        <v>1</v>
      </c>
      <c r="S36" s="9"/>
      <c r="T36" s="9">
        <v>1</v>
      </c>
      <c r="U36" s="9">
        <v>2</v>
      </c>
      <c r="V36" s="9"/>
      <c r="W36" s="9">
        <v>1</v>
      </c>
      <c r="X36" s="9"/>
      <c r="Y36" s="9">
        <v>4</v>
      </c>
      <c r="Z36" s="9">
        <v>1</v>
      </c>
      <c r="AA36" s="9"/>
      <c r="AB36" s="9">
        <v>2</v>
      </c>
      <c r="AC36" s="9"/>
      <c r="AD36" s="9"/>
      <c r="AE36" s="9">
        <v>6</v>
      </c>
      <c r="AF36" s="9"/>
      <c r="AG36" s="9"/>
      <c r="AH36" s="135"/>
      <c r="AI36" s="135"/>
      <c r="AJ36" s="15">
        <f>SUM(C36:AG36)</f>
        <v>49</v>
      </c>
      <c r="AK36" s="137"/>
      <c r="AL36" s="137"/>
      <c r="AM36" s="137"/>
      <c r="AN36" s="138"/>
      <c r="AO36" s="140"/>
      <c r="AP36" s="129"/>
      <c r="AQ36" s="129"/>
      <c r="AR36" s="129"/>
      <c r="AS36" s="130"/>
    </row>
    <row r="37" spans="1:45" x14ac:dyDescent="0.25">
      <c r="A37" s="133"/>
      <c r="B37" s="125"/>
      <c r="C37" s="10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36"/>
      <c r="AI37" s="136"/>
      <c r="AJ37" s="16"/>
      <c r="AK37" s="137"/>
      <c r="AL37" s="137"/>
      <c r="AM37" s="137"/>
      <c r="AN37" s="138"/>
      <c r="AO37" s="141"/>
      <c r="AP37" s="129"/>
      <c r="AQ37" s="129"/>
      <c r="AR37" s="129"/>
      <c r="AS37" s="130"/>
    </row>
    <row r="38" spans="1:45" x14ac:dyDescent="0.25">
      <c r="A38" s="131">
        <v>12</v>
      </c>
      <c r="B38" s="123" t="s">
        <v>73</v>
      </c>
      <c r="C38" s="1" t="s">
        <v>41</v>
      </c>
      <c r="D38" s="1" t="s">
        <v>41</v>
      </c>
      <c r="E38" s="1" t="s">
        <v>41</v>
      </c>
      <c r="F38" s="1" t="s">
        <v>41</v>
      </c>
      <c r="G38" s="1" t="s">
        <v>41</v>
      </c>
      <c r="H38" s="1" t="s">
        <v>52</v>
      </c>
      <c r="I38" s="1" t="s">
        <v>41</v>
      </c>
      <c r="J38" s="1" t="s">
        <v>41</v>
      </c>
      <c r="K38" s="1" t="s">
        <v>41</v>
      </c>
      <c r="L38" s="1" t="s">
        <v>41</v>
      </c>
      <c r="M38" s="1" t="s">
        <v>41</v>
      </c>
      <c r="N38" s="1" t="s">
        <v>41</v>
      </c>
      <c r="O38" s="1" t="s">
        <v>41</v>
      </c>
      <c r="P38" s="1" t="s">
        <v>52</v>
      </c>
      <c r="Q38" s="1" t="s">
        <v>41</v>
      </c>
      <c r="R38" s="1" t="s">
        <v>41</v>
      </c>
      <c r="S38" s="1" t="s">
        <v>41</v>
      </c>
      <c r="T38" s="1" t="s">
        <v>52</v>
      </c>
      <c r="U38" s="1" t="s">
        <v>41</v>
      </c>
      <c r="V38" s="1" t="s">
        <v>52</v>
      </c>
      <c r="W38" s="1" t="s">
        <v>41</v>
      </c>
      <c r="X38" s="1" t="s">
        <v>41</v>
      </c>
      <c r="Y38" s="1" t="s">
        <v>52</v>
      </c>
      <c r="Z38" s="1" t="s">
        <v>41</v>
      </c>
      <c r="AA38" s="1" t="s">
        <v>52</v>
      </c>
      <c r="AB38" s="1" t="s">
        <v>52</v>
      </c>
      <c r="AC38" s="1" t="s">
        <v>52</v>
      </c>
      <c r="AD38" s="1" t="s">
        <v>52</v>
      </c>
      <c r="AE38" s="1" t="s">
        <v>52</v>
      </c>
      <c r="AF38" s="1" t="s">
        <v>52</v>
      </c>
      <c r="AG38" s="1"/>
      <c r="AH38" s="134">
        <f>COUNTIF(C38:AG38,"P")</f>
        <v>19</v>
      </c>
      <c r="AI38" s="134">
        <f>COUNTIF(D38:AH38,"P/2")</f>
        <v>0</v>
      </c>
      <c r="AJ38" s="15"/>
      <c r="AK38" s="137">
        <f>COUNTIF(C40:AG40,"BAAS")</f>
        <v>0</v>
      </c>
      <c r="AL38" s="137">
        <f>COUNTIF(D40:AH40,"RCML")</f>
        <v>0</v>
      </c>
      <c r="AM38" s="137">
        <f>COUNTIF(E40:AJ40,"PRE")</f>
        <v>0</v>
      </c>
      <c r="AN38" s="138">
        <f>COUNTIF(F40:AK40,"BAKR")</f>
        <v>0</v>
      </c>
      <c r="AO38" s="139">
        <v>700</v>
      </c>
      <c r="AP38" s="129">
        <f>AO38*AI38/2</f>
        <v>0</v>
      </c>
      <c r="AQ38" s="129">
        <f>AH38*AO38+AP38</f>
        <v>13300</v>
      </c>
      <c r="AR38" s="129">
        <f>AJ39/8*AO38</f>
        <v>1750</v>
      </c>
      <c r="AS38" s="130">
        <f>AQ38+AR38</f>
        <v>15050</v>
      </c>
    </row>
    <row r="39" spans="1:45" x14ac:dyDescent="0.25">
      <c r="A39" s="132"/>
      <c r="B39" s="124"/>
      <c r="C39" s="9">
        <v>2</v>
      </c>
      <c r="D39" s="9">
        <v>3</v>
      </c>
      <c r="E39" s="9">
        <v>2</v>
      </c>
      <c r="F39" s="9">
        <v>3</v>
      </c>
      <c r="G39" s="9">
        <v>4</v>
      </c>
      <c r="H39" s="9"/>
      <c r="I39" s="9">
        <v>2</v>
      </c>
      <c r="J39" s="9"/>
      <c r="K39" s="9"/>
      <c r="L39" s="9"/>
      <c r="M39" s="9"/>
      <c r="N39" s="9"/>
      <c r="O39" s="9"/>
      <c r="P39" s="9"/>
      <c r="Q39" s="9"/>
      <c r="R39" s="9">
        <v>1</v>
      </c>
      <c r="S39" s="9"/>
      <c r="T39" s="9"/>
      <c r="U39" s="9"/>
      <c r="V39" s="9"/>
      <c r="W39" s="9"/>
      <c r="X39" s="9"/>
      <c r="Y39" s="9"/>
      <c r="Z39" s="9">
        <v>3</v>
      </c>
      <c r="AA39" s="9"/>
      <c r="AB39" s="9"/>
      <c r="AC39" s="9"/>
      <c r="AD39" s="9"/>
      <c r="AE39" s="9"/>
      <c r="AF39" s="9"/>
      <c r="AG39" s="9"/>
      <c r="AH39" s="135"/>
      <c r="AI39" s="135"/>
      <c r="AJ39" s="15">
        <f>SUM(C39:AG39)</f>
        <v>20</v>
      </c>
      <c r="AK39" s="137"/>
      <c r="AL39" s="137"/>
      <c r="AM39" s="137"/>
      <c r="AN39" s="138"/>
      <c r="AO39" s="140"/>
      <c r="AP39" s="129"/>
      <c r="AQ39" s="129"/>
      <c r="AR39" s="129"/>
      <c r="AS39" s="130"/>
    </row>
    <row r="40" spans="1:45" x14ac:dyDescent="0.25">
      <c r="A40" s="133"/>
      <c r="B40" s="125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36"/>
      <c r="AI40" s="136"/>
      <c r="AJ40" s="16"/>
      <c r="AK40" s="137"/>
      <c r="AL40" s="137"/>
      <c r="AM40" s="137"/>
      <c r="AN40" s="138"/>
      <c r="AO40" s="141"/>
      <c r="AP40" s="129"/>
      <c r="AQ40" s="129"/>
      <c r="AR40" s="129"/>
      <c r="AS40" s="130"/>
    </row>
    <row r="41" spans="1:45" x14ac:dyDescent="0.25">
      <c r="A41" s="131">
        <v>13</v>
      </c>
      <c r="B41" s="123" t="s">
        <v>74</v>
      </c>
      <c r="C41" s="1" t="s">
        <v>41</v>
      </c>
      <c r="D41" s="1" t="s">
        <v>41</v>
      </c>
      <c r="E41" s="1" t="s">
        <v>41</v>
      </c>
      <c r="F41" s="1" t="s">
        <v>41</v>
      </c>
      <c r="G41" s="1" t="s">
        <v>41</v>
      </c>
      <c r="H41" s="1" t="s">
        <v>41</v>
      </c>
      <c r="I41" s="1" t="s">
        <v>41</v>
      </c>
      <c r="J41" s="1" t="s">
        <v>41</v>
      </c>
      <c r="K41" s="1" t="s">
        <v>41</v>
      </c>
      <c r="L41" s="1" t="s">
        <v>41</v>
      </c>
      <c r="M41" s="1" t="s">
        <v>41</v>
      </c>
      <c r="N41" s="1" t="s">
        <v>41</v>
      </c>
      <c r="O41" s="1" t="s">
        <v>41</v>
      </c>
      <c r="P41" s="1" t="s">
        <v>41</v>
      </c>
      <c r="Q41" s="1" t="s">
        <v>41</v>
      </c>
      <c r="R41" s="1" t="s">
        <v>41</v>
      </c>
      <c r="S41" s="1" t="s">
        <v>41</v>
      </c>
      <c r="T41" s="1" t="s">
        <v>41</v>
      </c>
      <c r="U41" s="1" t="s">
        <v>41</v>
      </c>
      <c r="V41" s="1" t="s">
        <v>52</v>
      </c>
      <c r="W41" s="1" t="s">
        <v>52</v>
      </c>
      <c r="X41" s="1" t="s">
        <v>52</v>
      </c>
      <c r="Y41" s="1" t="s">
        <v>52</v>
      </c>
      <c r="Z41" s="1" t="s">
        <v>52</v>
      </c>
      <c r="AA41" s="1" t="s">
        <v>52</v>
      </c>
      <c r="AB41" s="1" t="s">
        <v>52</v>
      </c>
      <c r="AC41" s="1" t="s">
        <v>52</v>
      </c>
      <c r="AD41" s="1" t="s">
        <v>52</v>
      </c>
      <c r="AE41" s="1" t="s">
        <v>52</v>
      </c>
      <c r="AF41" s="1" t="s">
        <v>52</v>
      </c>
      <c r="AG41" s="1"/>
      <c r="AH41" s="134">
        <f>COUNTIF(C41:AG41,"P")</f>
        <v>19</v>
      </c>
      <c r="AI41" s="134">
        <f>COUNTIF(D41:AH41,"P/2")</f>
        <v>0</v>
      </c>
      <c r="AJ41" s="15"/>
      <c r="AK41" s="137">
        <f>COUNTIF(C43:AG43,"BAAS")</f>
        <v>0</v>
      </c>
      <c r="AL41" s="137">
        <f>COUNTIF(D43:AH43,"RCML")</f>
        <v>0</v>
      </c>
      <c r="AM41" s="137">
        <f>COUNTIF(E43:AJ43,"PRE")</f>
        <v>0</v>
      </c>
      <c r="AN41" s="138">
        <f>COUNTIF(F43:AK43,"BAKR")</f>
        <v>0</v>
      </c>
      <c r="AO41" s="139">
        <v>700</v>
      </c>
      <c r="AP41" s="129">
        <f>AO41*AI41/2</f>
        <v>0</v>
      </c>
      <c r="AQ41" s="129">
        <f>AH41*AO41+AP41</f>
        <v>13300</v>
      </c>
      <c r="AR41" s="129">
        <f>AJ42/8*AO41</f>
        <v>3237.5</v>
      </c>
      <c r="AS41" s="130">
        <f>AQ41+AR41</f>
        <v>16537.5</v>
      </c>
    </row>
    <row r="42" spans="1:45" x14ac:dyDescent="0.25">
      <c r="A42" s="132"/>
      <c r="B42" s="124"/>
      <c r="C42" s="9">
        <v>2</v>
      </c>
      <c r="D42" s="9">
        <v>3</v>
      </c>
      <c r="E42" s="9">
        <v>3</v>
      </c>
      <c r="F42" s="9">
        <v>3</v>
      </c>
      <c r="G42" s="9">
        <v>4</v>
      </c>
      <c r="H42" s="9">
        <v>2</v>
      </c>
      <c r="I42" s="9">
        <v>6</v>
      </c>
      <c r="J42" s="9"/>
      <c r="K42" s="9"/>
      <c r="L42" s="9">
        <v>3</v>
      </c>
      <c r="M42" s="9"/>
      <c r="N42" s="9"/>
      <c r="O42" s="9">
        <v>2</v>
      </c>
      <c r="P42" s="9">
        <v>4</v>
      </c>
      <c r="Q42" s="9">
        <v>2</v>
      </c>
      <c r="R42" s="9">
        <v>1</v>
      </c>
      <c r="S42" s="9"/>
      <c r="T42" s="9">
        <v>1</v>
      </c>
      <c r="U42" s="9">
        <v>1</v>
      </c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135"/>
      <c r="AI42" s="135"/>
      <c r="AJ42" s="15">
        <f>SUM(C42:AG42)</f>
        <v>37</v>
      </c>
      <c r="AK42" s="137"/>
      <c r="AL42" s="137"/>
      <c r="AM42" s="137"/>
      <c r="AN42" s="138"/>
      <c r="AO42" s="140"/>
      <c r="AP42" s="129"/>
      <c r="AQ42" s="129"/>
      <c r="AR42" s="129"/>
      <c r="AS42" s="130"/>
    </row>
    <row r="43" spans="1:45" x14ac:dyDescent="0.25">
      <c r="A43" s="133"/>
      <c r="B43" s="125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36"/>
      <c r="AI43" s="136"/>
      <c r="AJ43" s="16"/>
      <c r="AK43" s="137"/>
      <c r="AL43" s="137"/>
      <c r="AM43" s="137"/>
      <c r="AN43" s="138"/>
      <c r="AO43" s="141"/>
      <c r="AP43" s="129"/>
      <c r="AQ43" s="129"/>
      <c r="AR43" s="129"/>
      <c r="AS43" s="130"/>
    </row>
    <row r="44" spans="1:45" x14ac:dyDescent="0.25">
      <c r="A44" s="131">
        <v>14</v>
      </c>
      <c r="B44" s="123" t="s">
        <v>76</v>
      </c>
      <c r="C44" s="1" t="s">
        <v>41</v>
      </c>
      <c r="D44" s="1" t="s">
        <v>41</v>
      </c>
      <c r="E44" s="1" t="s">
        <v>41</v>
      </c>
      <c r="F44" s="1" t="s">
        <v>41</v>
      </c>
      <c r="G44" s="1" t="s">
        <v>41</v>
      </c>
      <c r="H44" s="1" t="s">
        <v>41</v>
      </c>
      <c r="I44" s="1" t="s">
        <v>41</v>
      </c>
      <c r="J44" s="1" t="s">
        <v>41</v>
      </c>
      <c r="K44" s="1" t="s">
        <v>41</v>
      </c>
      <c r="L44" s="1" t="s">
        <v>41</v>
      </c>
      <c r="M44" s="1" t="s">
        <v>41</v>
      </c>
      <c r="N44" s="1" t="s">
        <v>41</v>
      </c>
      <c r="O44" s="1" t="s">
        <v>41</v>
      </c>
      <c r="P44" s="1" t="s">
        <v>41</v>
      </c>
      <c r="Q44" s="1" t="s">
        <v>41</v>
      </c>
      <c r="R44" s="1" t="s">
        <v>41</v>
      </c>
      <c r="S44" s="1" t="s">
        <v>41</v>
      </c>
      <c r="T44" s="1" t="s">
        <v>41</v>
      </c>
      <c r="U44" s="1" t="s">
        <v>41</v>
      </c>
      <c r="V44" s="1" t="s">
        <v>52</v>
      </c>
      <c r="W44" s="1" t="s">
        <v>41</v>
      </c>
      <c r="X44" s="1" t="s">
        <v>41</v>
      </c>
      <c r="Y44" s="1" t="s">
        <v>41</v>
      </c>
      <c r="Z44" s="1" t="s">
        <v>41</v>
      </c>
      <c r="AA44" s="1" t="s">
        <v>41</v>
      </c>
      <c r="AB44" s="1" t="s">
        <v>41</v>
      </c>
      <c r="AC44" s="1" t="s">
        <v>41</v>
      </c>
      <c r="AD44" s="1" t="s">
        <v>41</v>
      </c>
      <c r="AE44" s="1" t="s">
        <v>41</v>
      </c>
      <c r="AF44" s="1" t="s">
        <v>41</v>
      </c>
      <c r="AG44" s="1"/>
      <c r="AH44" s="134">
        <f>COUNTIF(C44:AG44,"P")</f>
        <v>29</v>
      </c>
      <c r="AI44" s="134">
        <f>COUNTIF(D44:AH44,"P/2")</f>
        <v>0</v>
      </c>
      <c r="AJ44" s="15"/>
      <c r="AK44" s="137">
        <f>COUNTIF(C46:AG46,"BAAS")</f>
        <v>0</v>
      </c>
      <c r="AL44" s="137">
        <f>COUNTIF(D46:AH46,"RCML")</f>
        <v>0</v>
      </c>
      <c r="AM44" s="137">
        <f>COUNTIF(E46:AJ46,"PRE")</f>
        <v>0</v>
      </c>
      <c r="AN44" s="138">
        <f>COUNTIF(F46:AK46,"BAKR")</f>
        <v>0</v>
      </c>
      <c r="AO44" s="139">
        <v>700</v>
      </c>
      <c r="AP44" s="129">
        <f>AO44*AI44/2</f>
        <v>0</v>
      </c>
      <c r="AQ44" s="129">
        <f>AH44*AO44+AP44</f>
        <v>20300</v>
      </c>
      <c r="AR44" s="129">
        <f>AJ45/8*AO44</f>
        <v>4812.5</v>
      </c>
      <c r="AS44" s="130">
        <f>AQ44+AR44</f>
        <v>25112.5</v>
      </c>
    </row>
    <row r="45" spans="1:45" x14ac:dyDescent="0.25">
      <c r="A45" s="132"/>
      <c r="B45" s="124"/>
      <c r="C45" s="9"/>
      <c r="D45" s="9">
        <v>3</v>
      </c>
      <c r="E45" s="9">
        <v>3</v>
      </c>
      <c r="F45" s="9">
        <v>3</v>
      </c>
      <c r="G45" s="9">
        <v>4</v>
      </c>
      <c r="H45" s="9">
        <v>2</v>
      </c>
      <c r="I45" s="9">
        <v>2</v>
      </c>
      <c r="J45" s="9">
        <v>1</v>
      </c>
      <c r="K45" s="9"/>
      <c r="L45" s="9">
        <v>1</v>
      </c>
      <c r="M45" s="9"/>
      <c r="N45" s="9"/>
      <c r="O45" s="9">
        <v>2</v>
      </c>
      <c r="P45" s="9">
        <v>4</v>
      </c>
      <c r="Q45" s="9">
        <v>2</v>
      </c>
      <c r="R45" s="9">
        <v>1</v>
      </c>
      <c r="S45" s="9"/>
      <c r="T45" s="9">
        <v>1</v>
      </c>
      <c r="U45" s="9">
        <v>1</v>
      </c>
      <c r="V45" s="9"/>
      <c r="W45" s="9"/>
      <c r="X45" s="9">
        <v>4</v>
      </c>
      <c r="Y45" s="9">
        <v>3</v>
      </c>
      <c r="Z45" s="9">
        <v>6</v>
      </c>
      <c r="AA45" s="9">
        <v>2</v>
      </c>
      <c r="AB45" s="9"/>
      <c r="AC45" s="9">
        <v>6</v>
      </c>
      <c r="AD45" s="9">
        <v>2</v>
      </c>
      <c r="AE45" s="9"/>
      <c r="AF45" s="9">
        <v>2</v>
      </c>
      <c r="AG45" s="9"/>
      <c r="AH45" s="135"/>
      <c r="AI45" s="135"/>
      <c r="AJ45" s="15">
        <f>SUM(C45:AG45)</f>
        <v>55</v>
      </c>
      <c r="AK45" s="137"/>
      <c r="AL45" s="137"/>
      <c r="AM45" s="137"/>
      <c r="AN45" s="138"/>
      <c r="AO45" s="140"/>
      <c r="AP45" s="129"/>
      <c r="AQ45" s="129"/>
      <c r="AR45" s="129"/>
      <c r="AS45" s="130"/>
    </row>
    <row r="46" spans="1:45" x14ac:dyDescent="0.25">
      <c r="A46" s="133"/>
      <c r="B46" s="125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36"/>
      <c r="AI46" s="136"/>
      <c r="AJ46" s="16"/>
      <c r="AK46" s="137"/>
      <c r="AL46" s="137"/>
      <c r="AM46" s="137"/>
      <c r="AN46" s="138"/>
      <c r="AO46" s="141"/>
      <c r="AP46" s="129"/>
      <c r="AQ46" s="129"/>
      <c r="AR46" s="129"/>
      <c r="AS46" s="130"/>
    </row>
    <row r="47" spans="1:45" x14ac:dyDescent="0.25">
      <c r="A47" s="131">
        <v>15</v>
      </c>
      <c r="B47" s="123" t="s">
        <v>77</v>
      </c>
      <c r="C47" s="1" t="s">
        <v>41</v>
      </c>
      <c r="D47" s="1" t="s">
        <v>52</v>
      </c>
      <c r="E47" s="1" t="s">
        <v>41</v>
      </c>
      <c r="F47" s="1" t="s">
        <v>41</v>
      </c>
      <c r="G47" s="1" t="s">
        <v>41</v>
      </c>
      <c r="H47" s="1" t="s">
        <v>52</v>
      </c>
      <c r="I47" s="1" t="s">
        <v>41</v>
      </c>
      <c r="J47" s="1" t="s">
        <v>41</v>
      </c>
      <c r="K47" s="1" t="s">
        <v>41</v>
      </c>
      <c r="L47" s="1" t="s">
        <v>41</v>
      </c>
      <c r="M47" s="1" t="s">
        <v>52</v>
      </c>
      <c r="N47" s="1" t="s">
        <v>52</v>
      </c>
      <c r="O47" s="1" t="s">
        <v>52</v>
      </c>
      <c r="P47" s="1" t="s">
        <v>52</v>
      </c>
      <c r="Q47" s="1" t="s">
        <v>52</v>
      </c>
      <c r="R47" s="1" t="s">
        <v>52</v>
      </c>
      <c r="S47" s="1" t="s">
        <v>52</v>
      </c>
      <c r="T47" s="1" t="s">
        <v>52</v>
      </c>
      <c r="U47" s="1" t="s">
        <v>52</v>
      </c>
      <c r="V47" s="1" t="s">
        <v>52</v>
      </c>
      <c r="W47" s="1" t="s">
        <v>52</v>
      </c>
      <c r="X47" s="1" t="s">
        <v>52</v>
      </c>
      <c r="Y47" s="1" t="s">
        <v>52</v>
      </c>
      <c r="Z47" s="1" t="s">
        <v>52</v>
      </c>
      <c r="AA47" s="1" t="s">
        <v>52</v>
      </c>
      <c r="AB47" s="1" t="s">
        <v>52</v>
      </c>
      <c r="AC47" s="1" t="s">
        <v>52</v>
      </c>
      <c r="AD47" s="1" t="s">
        <v>52</v>
      </c>
      <c r="AE47" s="1" t="s">
        <v>52</v>
      </c>
      <c r="AF47" s="1" t="s">
        <v>52</v>
      </c>
      <c r="AG47" s="1"/>
      <c r="AH47" s="134">
        <f>COUNTIF(C47:AG47,"P")</f>
        <v>8</v>
      </c>
      <c r="AI47" s="134">
        <f>COUNTIF(D47:AH47,"P/2")</f>
        <v>0</v>
      </c>
      <c r="AJ47" s="15"/>
      <c r="AK47" s="137">
        <f>COUNTIF(C49:AG49,"BAAS")</f>
        <v>0</v>
      </c>
      <c r="AL47" s="137">
        <f>COUNTIF(D49:AH49,"RCML")</f>
        <v>0</v>
      </c>
      <c r="AM47" s="137">
        <f>COUNTIF(E49:AJ49,"PRE")</f>
        <v>0</v>
      </c>
      <c r="AN47" s="138">
        <f>COUNTIF(F49:AK49,"BAKR")</f>
        <v>0</v>
      </c>
      <c r="AO47" s="139">
        <v>600</v>
      </c>
      <c r="AP47" s="129">
        <f>AO47*AI47/2</f>
        <v>0</v>
      </c>
      <c r="AQ47" s="129">
        <f>AH47*AO47+AP47</f>
        <v>4800</v>
      </c>
      <c r="AR47" s="129">
        <f>AJ48/8*AO47</f>
        <v>900</v>
      </c>
      <c r="AS47" s="130">
        <f>AQ47+AR47</f>
        <v>5700</v>
      </c>
    </row>
    <row r="48" spans="1:45" x14ac:dyDescent="0.25">
      <c r="A48" s="132"/>
      <c r="B48" s="124"/>
      <c r="C48" s="9">
        <v>2</v>
      </c>
      <c r="D48" s="9"/>
      <c r="E48" s="9">
        <v>1</v>
      </c>
      <c r="F48" s="9">
        <v>3</v>
      </c>
      <c r="G48" s="9">
        <v>3</v>
      </c>
      <c r="H48" s="9"/>
      <c r="I48" s="9">
        <v>2</v>
      </c>
      <c r="J48" s="9"/>
      <c r="K48" s="9"/>
      <c r="L48" s="9">
        <v>1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135"/>
      <c r="AI48" s="135"/>
      <c r="AJ48" s="15">
        <f>SUM(C48:AG48)</f>
        <v>12</v>
      </c>
      <c r="AK48" s="137"/>
      <c r="AL48" s="137"/>
      <c r="AM48" s="137"/>
      <c r="AN48" s="138"/>
      <c r="AO48" s="140"/>
      <c r="AP48" s="129"/>
      <c r="AQ48" s="129"/>
      <c r="AR48" s="129"/>
      <c r="AS48" s="130"/>
    </row>
    <row r="49" spans="1:45" x14ac:dyDescent="0.25">
      <c r="A49" s="133"/>
      <c r="B49" s="125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36"/>
      <c r="AI49" s="136"/>
      <c r="AJ49" s="15"/>
      <c r="AK49" s="137"/>
      <c r="AL49" s="137"/>
      <c r="AM49" s="137"/>
      <c r="AN49" s="138"/>
      <c r="AO49" s="141"/>
      <c r="AP49" s="129"/>
      <c r="AQ49" s="129"/>
      <c r="AR49" s="129"/>
      <c r="AS49" s="130"/>
    </row>
    <row r="50" spans="1:45" x14ac:dyDescent="0.25">
      <c r="A50" s="131">
        <v>16</v>
      </c>
      <c r="B50" s="123" t="s">
        <v>79</v>
      </c>
      <c r="C50" s="1" t="s">
        <v>41</v>
      </c>
      <c r="D50" s="1" t="s">
        <v>41</v>
      </c>
      <c r="E50" s="1" t="s">
        <v>41</v>
      </c>
      <c r="F50" s="1" t="s">
        <v>41</v>
      </c>
      <c r="G50" s="1" t="s">
        <v>41</v>
      </c>
      <c r="H50" s="1" t="s">
        <v>41</v>
      </c>
      <c r="I50" s="1" t="s">
        <v>41</v>
      </c>
      <c r="J50" s="1" t="s">
        <v>41</v>
      </c>
      <c r="K50" s="1" t="s">
        <v>41</v>
      </c>
      <c r="L50" s="1" t="s">
        <v>41</v>
      </c>
      <c r="M50" s="1" t="s">
        <v>41</v>
      </c>
      <c r="N50" s="1" t="s">
        <v>56</v>
      </c>
      <c r="O50" s="1" t="s">
        <v>41</v>
      </c>
      <c r="P50" s="1" t="s">
        <v>41</v>
      </c>
      <c r="Q50" s="1" t="s">
        <v>41</v>
      </c>
      <c r="R50" s="1" t="s">
        <v>41</v>
      </c>
      <c r="S50" s="1" t="s">
        <v>41</v>
      </c>
      <c r="T50" s="1" t="s">
        <v>41</v>
      </c>
      <c r="U50" s="1" t="s">
        <v>41</v>
      </c>
      <c r="V50" s="1" t="s">
        <v>52</v>
      </c>
      <c r="W50" s="1" t="s">
        <v>41</v>
      </c>
      <c r="X50" s="1" t="s">
        <v>41</v>
      </c>
      <c r="Y50" s="1" t="s">
        <v>41</v>
      </c>
      <c r="Z50" s="1" t="s">
        <v>41</v>
      </c>
      <c r="AA50" s="1" t="s">
        <v>41</v>
      </c>
      <c r="AB50" s="1" t="s">
        <v>52</v>
      </c>
      <c r="AC50" s="1" t="s">
        <v>41</v>
      </c>
      <c r="AD50" s="1" t="s">
        <v>41</v>
      </c>
      <c r="AE50" s="1" t="s">
        <v>41</v>
      </c>
      <c r="AF50" s="1" t="s">
        <v>41</v>
      </c>
      <c r="AG50" s="1"/>
      <c r="AH50" s="134">
        <f>COUNTIF(C50:AG50,"P")</f>
        <v>27</v>
      </c>
      <c r="AI50" s="134">
        <f>COUNTIF(D50:AH50,"P/2")</f>
        <v>1</v>
      </c>
      <c r="AJ50" s="15"/>
      <c r="AK50" s="137">
        <f>COUNTIF(C52:AG52,"BAAS")</f>
        <v>0</v>
      </c>
      <c r="AL50" s="137">
        <f>COUNTIF(D52:AH52,"RCML")</f>
        <v>0</v>
      </c>
      <c r="AM50" s="137">
        <f>COUNTIF(E52:AJ52,"PRE")</f>
        <v>0</v>
      </c>
      <c r="AN50" s="138">
        <f>COUNTIF(F52:AK52,"BAKR")</f>
        <v>0</v>
      </c>
      <c r="AO50" s="139">
        <v>700</v>
      </c>
      <c r="AP50" s="129">
        <f>AO50*AI50/2</f>
        <v>350</v>
      </c>
      <c r="AQ50" s="129">
        <f>AH50*AO50+AP50</f>
        <v>19250</v>
      </c>
      <c r="AR50" s="129">
        <f>AJ51/8*AO50</f>
        <v>3412.5</v>
      </c>
      <c r="AS50" s="130">
        <f>AQ50+AR50</f>
        <v>22662.5</v>
      </c>
    </row>
    <row r="51" spans="1:45" x14ac:dyDescent="0.25">
      <c r="A51" s="132"/>
      <c r="B51" s="124"/>
      <c r="C51" s="9">
        <v>2</v>
      </c>
      <c r="D51" s="9">
        <v>3</v>
      </c>
      <c r="E51" s="9">
        <v>2</v>
      </c>
      <c r="F51" s="9">
        <v>3</v>
      </c>
      <c r="G51" s="9">
        <v>4</v>
      </c>
      <c r="H51" s="9">
        <v>2</v>
      </c>
      <c r="I51" s="9">
        <v>2</v>
      </c>
      <c r="J51" s="9"/>
      <c r="K51" s="9"/>
      <c r="L51" s="9">
        <v>1</v>
      </c>
      <c r="M51" s="9"/>
      <c r="N51" s="9"/>
      <c r="O51" s="9">
        <v>2</v>
      </c>
      <c r="P51" s="9">
        <v>4</v>
      </c>
      <c r="Q51" s="9"/>
      <c r="R51" s="9">
        <v>1</v>
      </c>
      <c r="S51" s="9"/>
      <c r="T51" s="9"/>
      <c r="U51" s="9">
        <v>1</v>
      </c>
      <c r="V51" s="9"/>
      <c r="W51" s="9"/>
      <c r="X51" s="9"/>
      <c r="Y51" s="9">
        <v>4</v>
      </c>
      <c r="Z51" s="9">
        <v>1</v>
      </c>
      <c r="AA51" s="9">
        <v>4</v>
      </c>
      <c r="AB51" s="9"/>
      <c r="AC51" s="9"/>
      <c r="AD51" s="9">
        <v>1</v>
      </c>
      <c r="AE51" s="9"/>
      <c r="AF51" s="9">
        <v>2</v>
      </c>
      <c r="AG51" s="9"/>
      <c r="AH51" s="135"/>
      <c r="AI51" s="135"/>
      <c r="AJ51" s="15">
        <f>SUM(C51:AG51)</f>
        <v>39</v>
      </c>
      <c r="AK51" s="137"/>
      <c r="AL51" s="137"/>
      <c r="AM51" s="137"/>
      <c r="AN51" s="138"/>
      <c r="AO51" s="140"/>
      <c r="AP51" s="129"/>
      <c r="AQ51" s="129"/>
      <c r="AR51" s="129"/>
      <c r="AS51" s="130"/>
    </row>
    <row r="52" spans="1:45" x14ac:dyDescent="0.25">
      <c r="A52" s="133"/>
      <c r="B52" s="125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36"/>
      <c r="AI52" s="136"/>
      <c r="AJ52" s="15"/>
      <c r="AK52" s="137"/>
      <c r="AL52" s="137"/>
      <c r="AM52" s="137"/>
      <c r="AN52" s="138"/>
      <c r="AO52" s="141"/>
      <c r="AP52" s="129"/>
      <c r="AQ52" s="129"/>
      <c r="AR52" s="129"/>
      <c r="AS52" s="130"/>
    </row>
    <row r="53" spans="1:45" x14ac:dyDescent="0.25">
      <c r="A53" s="131">
        <v>17</v>
      </c>
      <c r="B53" s="123" t="s">
        <v>80</v>
      </c>
      <c r="C53" s="1" t="s">
        <v>41</v>
      </c>
      <c r="D53" s="1" t="s">
        <v>52</v>
      </c>
      <c r="E53" s="1" t="s">
        <v>41</v>
      </c>
      <c r="F53" s="1" t="s">
        <v>41</v>
      </c>
      <c r="G53" s="1" t="s">
        <v>41</v>
      </c>
      <c r="H53" s="1" t="s">
        <v>41</v>
      </c>
      <c r="I53" s="1" t="s">
        <v>41</v>
      </c>
      <c r="J53" s="1" t="s">
        <v>41</v>
      </c>
      <c r="K53" s="1" t="s">
        <v>41</v>
      </c>
      <c r="L53" s="1" t="s">
        <v>41</v>
      </c>
      <c r="M53" s="1" t="s">
        <v>41</v>
      </c>
      <c r="N53" s="1" t="s">
        <v>41</v>
      </c>
      <c r="O53" s="1" t="s">
        <v>41</v>
      </c>
      <c r="P53" s="1" t="s">
        <v>41</v>
      </c>
      <c r="Q53" s="1" t="s">
        <v>41</v>
      </c>
      <c r="R53" s="1" t="s">
        <v>41</v>
      </c>
      <c r="S53" s="1" t="s">
        <v>41</v>
      </c>
      <c r="T53" s="1" t="s">
        <v>41</v>
      </c>
      <c r="U53" s="1" t="s">
        <v>41</v>
      </c>
      <c r="V53" s="1" t="s">
        <v>41</v>
      </c>
      <c r="W53" s="1" t="s">
        <v>41</v>
      </c>
      <c r="X53" s="1" t="s">
        <v>41</v>
      </c>
      <c r="Y53" s="1" t="s">
        <v>41</v>
      </c>
      <c r="Z53" s="1" t="s">
        <v>52</v>
      </c>
      <c r="AA53" s="1" t="s">
        <v>41</v>
      </c>
      <c r="AB53" s="1" t="s">
        <v>52</v>
      </c>
      <c r="AC53" s="1" t="s">
        <v>41</v>
      </c>
      <c r="AD53" s="1" t="s">
        <v>41</v>
      </c>
      <c r="AE53" s="1" t="s">
        <v>41</v>
      </c>
      <c r="AF53" s="1" t="s">
        <v>41</v>
      </c>
      <c r="AG53" s="1"/>
      <c r="AH53" s="134">
        <f>COUNTIF(C53:AG53,"P")</f>
        <v>27</v>
      </c>
      <c r="AI53" s="134">
        <f>COUNTIF(D53:AH53,"P/2")</f>
        <v>0</v>
      </c>
      <c r="AJ53" s="15"/>
      <c r="AK53" s="137">
        <f>COUNTIF(C55:AG55,"BAAS")</f>
        <v>0</v>
      </c>
      <c r="AL53" s="137">
        <f>COUNTIF(D55:AH55,"RCML")</f>
        <v>0</v>
      </c>
      <c r="AM53" s="137">
        <f>COUNTIF(E55:AJ55,"PRE")</f>
        <v>0</v>
      </c>
      <c r="AN53" s="138">
        <f>COUNTIF(F55:AK55,"BAKR")</f>
        <v>0</v>
      </c>
      <c r="AO53" s="139">
        <v>700</v>
      </c>
      <c r="AP53" s="129">
        <f>AO53*AI53/2</f>
        <v>0</v>
      </c>
      <c r="AQ53" s="129">
        <f>AH53*AO53+AP53</f>
        <v>18900</v>
      </c>
      <c r="AR53" s="129">
        <f>AJ54/8*AO53</f>
        <v>2887.5</v>
      </c>
      <c r="AS53" s="130">
        <f>AQ53+AR53</f>
        <v>21787.5</v>
      </c>
    </row>
    <row r="54" spans="1:45" x14ac:dyDescent="0.25">
      <c r="A54" s="132"/>
      <c r="B54" s="124"/>
      <c r="C54" s="9">
        <v>2</v>
      </c>
      <c r="D54" s="9"/>
      <c r="E54" s="9">
        <v>3</v>
      </c>
      <c r="F54" s="9">
        <v>3</v>
      </c>
      <c r="G54" s="9">
        <v>4</v>
      </c>
      <c r="H54" s="9">
        <v>2</v>
      </c>
      <c r="I54" s="9">
        <v>2</v>
      </c>
      <c r="J54" s="9"/>
      <c r="K54" s="9"/>
      <c r="L54" s="9">
        <v>1</v>
      </c>
      <c r="M54" s="9"/>
      <c r="N54" s="9"/>
      <c r="O54" s="9"/>
      <c r="P54" s="9"/>
      <c r="Q54" s="9"/>
      <c r="R54" s="9">
        <v>2</v>
      </c>
      <c r="S54" s="9"/>
      <c r="T54" s="9"/>
      <c r="U54" s="9">
        <v>1</v>
      </c>
      <c r="V54" s="9">
        <v>2</v>
      </c>
      <c r="W54" s="9">
        <v>1</v>
      </c>
      <c r="X54" s="9"/>
      <c r="Y54" s="9">
        <v>2</v>
      </c>
      <c r="Z54" s="9"/>
      <c r="AA54" s="9"/>
      <c r="AB54" s="9"/>
      <c r="AC54" s="9">
        <v>4</v>
      </c>
      <c r="AD54" s="9">
        <v>2</v>
      </c>
      <c r="AE54" s="9"/>
      <c r="AF54" s="9">
        <v>2</v>
      </c>
      <c r="AG54" s="9"/>
      <c r="AH54" s="135"/>
      <c r="AI54" s="135"/>
      <c r="AJ54" s="15">
        <f>SUM(C54:AG54)</f>
        <v>33</v>
      </c>
      <c r="AK54" s="137"/>
      <c r="AL54" s="137"/>
      <c r="AM54" s="137"/>
      <c r="AN54" s="138"/>
      <c r="AO54" s="140"/>
      <c r="AP54" s="129"/>
      <c r="AQ54" s="129"/>
      <c r="AR54" s="129"/>
      <c r="AS54" s="130"/>
    </row>
    <row r="55" spans="1:45" x14ac:dyDescent="0.25">
      <c r="A55" s="133"/>
      <c r="B55" s="125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36"/>
      <c r="AI55" s="136"/>
      <c r="AJ55" s="15"/>
      <c r="AK55" s="137"/>
      <c r="AL55" s="137"/>
      <c r="AM55" s="137"/>
      <c r="AN55" s="138"/>
      <c r="AO55" s="141"/>
      <c r="AP55" s="129"/>
      <c r="AQ55" s="129"/>
      <c r="AR55" s="129"/>
      <c r="AS55" s="130"/>
    </row>
    <row r="56" spans="1:45" x14ac:dyDescent="0.25">
      <c r="A56" s="131">
        <v>18</v>
      </c>
      <c r="B56" s="123" t="s">
        <v>81</v>
      </c>
      <c r="C56" s="1" t="s">
        <v>41</v>
      </c>
      <c r="D56" s="1" t="s">
        <v>41</v>
      </c>
      <c r="E56" s="1" t="s">
        <v>52</v>
      </c>
      <c r="F56" s="1" t="s">
        <v>41</v>
      </c>
      <c r="G56" s="1" t="s">
        <v>41</v>
      </c>
      <c r="H56" s="1" t="s">
        <v>52</v>
      </c>
      <c r="I56" s="1" t="s">
        <v>41</v>
      </c>
      <c r="J56" s="1" t="s">
        <v>41</v>
      </c>
      <c r="K56" s="1" t="s">
        <v>41</v>
      </c>
      <c r="L56" s="1" t="s">
        <v>41</v>
      </c>
      <c r="M56" s="1" t="s">
        <v>41</v>
      </c>
      <c r="N56" s="1" t="s">
        <v>52</v>
      </c>
      <c r="O56" s="1" t="s">
        <v>52</v>
      </c>
      <c r="P56" s="1" t="s">
        <v>52</v>
      </c>
      <c r="Q56" s="1" t="s">
        <v>52</v>
      </c>
      <c r="R56" s="1" t="s">
        <v>41</v>
      </c>
      <c r="S56" s="1" t="s">
        <v>41</v>
      </c>
      <c r="T56" s="1" t="s">
        <v>41</v>
      </c>
      <c r="U56" s="1" t="s">
        <v>52</v>
      </c>
      <c r="V56" s="1" t="s">
        <v>52</v>
      </c>
      <c r="W56" s="1" t="s">
        <v>41</v>
      </c>
      <c r="X56" s="1" t="s">
        <v>41</v>
      </c>
      <c r="Y56" s="1" t="s">
        <v>41</v>
      </c>
      <c r="Z56" s="1" t="s">
        <v>41</v>
      </c>
      <c r="AA56" s="1" t="s">
        <v>41</v>
      </c>
      <c r="AB56" s="1" t="s">
        <v>41</v>
      </c>
      <c r="AC56" s="1" t="s">
        <v>41</v>
      </c>
      <c r="AD56" s="1" t="s">
        <v>56</v>
      </c>
      <c r="AE56" s="1" t="s">
        <v>41</v>
      </c>
      <c r="AF56" s="1" t="s">
        <v>41</v>
      </c>
      <c r="AG56" s="1"/>
      <c r="AH56" s="134">
        <f>COUNTIF(C56:AG56,"P")</f>
        <v>21</v>
      </c>
      <c r="AI56" s="134">
        <f>COUNTIF(D56:AH56,"P/2")</f>
        <v>1</v>
      </c>
      <c r="AJ56" s="15"/>
      <c r="AK56" s="137">
        <f>COUNTIF(C58:AG58,"BAAS")</f>
        <v>0</v>
      </c>
      <c r="AL56" s="137">
        <f>COUNTIF(D58:AH58,"RCML")</f>
        <v>0</v>
      </c>
      <c r="AM56" s="137">
        <f>COUNTIF(E58:AJ58,"PRE")</f>
        <v>0</v>
      </c>
      <c r="AN56" s="138">
        <f>COUNTIF(F58:AK58,"BAKR")</f>
        <v>0</v>
      </c>
      <c r="AO56" s="139">
        <v>700</v>
      </c>
      <c r="AP56" s="129">
        <f>AO56*AI56/2</f>
        <v>350</v>
      </c>
      <c r="AQ56" s="129">
        <f>AH56*AO56+AP56</f>
        <v>15050</v>
      </c>
      <c r="AR56" s="129">
        <f>AJ57/8*AO56</f>
        <v>2012.5</v>
      </c>
      <c r="AS56" s="130">
        <f>AQ56+AR56</f>
        <v>17062.5</v>
      </c>
    </row>
    <row r="57" spans="1:45" x14ac:dyDescent="0.25">
      <c r="A57" s="132"/>
      <c r="B57" s="124"/>
      <c r="C57" s="9"/>
      <c r="D57" s="9"/>
      <c r="E57" s="9"/>
      <c r="F57" s="9">
        <v>3</v>
      </c>
      <c r="G57" s="9">
        <v>4</v>
      </c>
      <c r="H57" s="9"/>
      <c r="I57" s="9">
        <v>2</v>
      </c>
      <c r="J57" s="9"/>
      <c r="K57" s="9"/>
      <c r="L57" s="9">
        <v>1</v>
      </c>
      <c r="M57" s="9"/>
      <c r="N57" s="9"/>
      <c r="O57" s="9"/>
      <c r="P57" s="9"/>
      <c r="Q57" s="9"/>
      <c r="R57" s="9">
        <v>1</v>
      </c>
      <c r="S57" s="9">
        <v>3</v>
      </c>
      <c r="T57" s="9"/>
      <c r="U57" s="9"/>
      <c r="V57" s="9"/>
      <c r="W57" s="9"/>
      <c r="X57" s="9"/>
      <c r="Y57" s="9">
        <v>1</v>
      </c>
      <c r="Z57" s="9">
        <v>3</v>
      </c>
      <c r="AA57" s="9">
        <v>4</v>
      </c>
      <c r="AB57" s="9"/>
      <c r="AC57" s="9"/>
      <c r="AD57" s="9"/>
      <c r="AE57" s="9"/>
      <c r="AF57" s="9">
        <v>1</v>
      </c>
      <c r="AG57" s="9"/>
      <c r="AH57" s="135"/>
      <c r="AI57" s="135"/>
      <c r="AJ57" s="15">
        <f>SUM(C57:AG57)</f>
        <v>23</v>
      </c>
      <c r="AK57" s="137"/>
      <c r="AL57" s="137"/>
      <c r="AM57" s="137"/>
      <c r="AN57" s="138"/>
      <c r="AO57" s="140"/>
      <c r="AP57" s="129"/>
      <c r="AQ57" s="129"/>
      <c r="AR57" s="129"/>
      <c r="AS57" s="130"/>
    </row>
    <row r="58" spans="1:45" x14ac:dyDescent="0.25">
      <c r="A58" s="133"/>
      <c r="B58" s="125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36"/>
      <c r="AI58" s="136"/>
      <c r="AJ58" s="15"/>
      <c r="AK58" s="137"/>
      <c r="AL58" s="137"/>
      <c r="AM58" s="137"/>
      <c r="AN58" s="138"/>
      <c r="AO58" s="141"/>
      <c r="AP58" s="129"/>
      <c r="AQ58" s="129"/>
      <c r="AR58" s="129"/>
      <c r="AS58" s="130"/>
    </row>
    <row r="59" spans="1:45" x14ac:dyDescent="0.25">
      <c r="A59" s="131">
        <v>19</v>
      </c>
      <c r="B59" s="123" t="s">
        <v>87</v>
      </c>
      <c r="C59" s="1"/>
      <c r="D59" s="1"/>
      <c r="E59" s="1"/>
      <c r="F59" s="1"/>
      <c r="G59" s="1"/>
      <c r="H59" s="1"/>
      <c r="I59" s="1"/>
      <c r="J59" s="1"/>
      <c r="K59" s="1" t="s">
        <v>41</v>
      </c>
      <c r="L59" s="1" t="s">
        <v>41</v>
      </c>
      <c r="M59" s="1" t="s">
        <v>41</v>
      </c>
      <c r="N59" s="1" t="s">
        <v>41</v>
      </c>
      <c r="O59" s="1" t="s">
        <v>41</v>
      </c>
      <c r="P59" s="1" t="s">
        <v>41</v>
      </c>
      <c r="Q59" s="1" t="s">
        <v>41</v>
      </c>
      <c r="R59" s="1" t="s">
        <v>41</v>
      </c>
      <c r="S59" s="1" t="s">
        <v>41</v>
      </c>
      <c r="T59" s="1" t="s">
        <v>41</v>
      </c>
      <c r="U59" s="1" t="s">
        <v>41</v>
      </c>
      <c r="V59" s="1" t="s">
        <v>41</v>
      </c>
      <c r="W59" s="1" t="s">
        <v>41</v>
      </c>
      <c r="X59" s="1" t="s">
        <v>41</v>
      </c>
      <c r="Y59" s="1" t="s">
        <v>41</v>
      </c>
      <c r="Z59" s="1" t="s">
        <v>41</v>
      </c>
      <c r="AA59" s="1" t="s">
        <v>41</v>
      </c>
      <c r="AB59" s="1" t="s">
        <v>41</v>
      </c>
      <c r="AC59" s="1" t="s">
        <v>41</v>
      </c>
      <c r="AD59" s="1" t="s">
        <v>41</v>
      </c>
      <c r="AE59" s="1" t="s">
        <v>41</v>
      </c>
      <c r="AF59" s="1" t="s">
        <v>41</v>
      </c>
      <c r="AG59" s="1"/>
      <c r="AH59" s="134">
        <f>COUNTIF(C59:AG59,"P")</f>
        <v>22</v>
      </c>
      <c r="AI59" s="134">
        <f>COUNTIF(D59:AH59,"P/2")</f>
        <v>0</v>
      </c>
      <c r="AJ59" s="15"/>
      <c r="AK59" s="137">
        <f>COUNTIF(C61:AG61,"BAAS")</f>
        <v>0</v>
      </c>
      <c r="AL59" s="137">
        <f>COUNTIF(D61:AH61,"RCML")</f>
        <v>0</v>
      </c>
      <c r="AM59" s="137">
        <f>COUNTIF(E61:AJ61,"PRE")</f>
        <v>0</v>
      </c>
      <c r="AN59" s="138">
        <f>COUNTIF(F61:AK61,"BAKR")</f>
        <v>0</v>
      </c>
      <c r="AO59" s="139">
        <v>700</v>
      </c>
      <c r="AP59" s="129">
        <f>AO59*AI59/2</f>
        <v>0</v>
      </c>
      <c r="AQ59" s="129">
        <f>AH59*AO59+AP59</f>
        <v>15400</v>
      </c>
      <c r="AR59" s="129">
        <f>AJ60/8*AO59</f>
        <v>2537.5</v>
      </c>
      <c r="AS59" s="130">
        <f>AQ59+AR59</f>
        <v>17937.5</v>
      </c>
    </row>
    <row r="60" spans="1:45" x14ac:dyDescent="0.25">
      <c r="A60" s="132"/>
      <c r="B60" s="124"/>
      <c r="C60" s="9"/>
      <c r="D60" s="9"/>
      <c r="E60" s="9"/>
      <c r="F60" s="9"/>
      <c r="G60" s="9"/>
      <c r="H60" s="9"/>
      <c r="I60" s="9"/>
      <c r="J60" s="9"/>
      <c r="K60" s="9"/>
      <c r="L60" s="9">
        <v>1</v>
      </c>
      <c r="M60" s="9"/>
      <c r="N60" s="9"/>
      <c r="O60" s="9">
        <v>2</v>
      </c>
      <c r="P60" s="9">
        <v>1</v>
      </c>
      <c r="Q60" s="9"/>
      <c r="R60" s="9">
        <v>2</v>
      </c>
      <c r="S60" s="9"/>
      <c r="T60" s="9"/>
      <c r="U60" s="9">
        <v>1</v>
      </c>
      <c r="V60" s="9">
        <v>2</v>
      </c>
      <c r="W60" s="9">
        <v>1</v>
      </c>
      <c r="X60" s="9"/>
      <c r="Y60" s="9">
        <v>2</v>
      </c>
      <c r="Z60" s="9">
        <v>1</v>
      </c>
      <c r="AA60" s="9"/>
      <c r="AB60" s="9">
        <v>2</v>
      </c>
      <c r="AC60" s="9">
        <v>4</v>
      </c>
      <c r="AD60" s="9">
        <v>2</v>
      </c>
      <c r="AE60" s="9">
        <v>6</v>
      </c>
      <c r="AF60" s="9">
        <v>2</v>
      </c>
      <c r="AG60" s="9"/>
      <c r="AH60" s="135"/>
      <c r="AI60" s="135"/>
      <c r="AJ60" s="15">
        <f>SUM(C60:AG60)</f>
        <v>29</v>
      </c>
      <c r="AK60" s="137"/>
      <c r="AL60" s="137"/>
      <c r="AM60" s="137"/>
      <c r="AN60" s="138"/>
      <c r="AO60" s="140"/>
      <c r="AP60" s="129"/>
      <c r="AQ60" s="129"/>
      <c r="AR60" s="129"/>
      <c r="AS60" s="130"/>
    </row>
    <row r="61" spans="1:45" x14ac:dyDescent="0.25">
      <c r="A61" s="133"/>
      <c r="B61" s="125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36"/>
      <c r="AI61" s="136"/>
      <c r="AJ61" s="15"/>
      <c r="AK61" s="137"/>
      <c r="AL61" s="137"/>
      <c r="AM61" s="137"/>
      <c r="AN61" s="138"/>
      <c r="AO61" s="141"/>
      <c r="AP61" s="129"/>
      <c r="AQ61" s="129"/>
      <c r="AR61" s="129"/>
      <c r="AS61" s="130"/>
    </row>
    <row r="62" spans="1:45" x14ac:dyDescent="0.25">
      <c r="A62" s="131">
        <v>20</v>
      </c>
      <c r="B62" s="123" t="s">
        <v>88</v>
      </c>
      <c r="C62" s="1"/>
      <c r="D62" s="1"/>
      <c r="E62" s="1"/>
      <c r="F62" s="1"/>
      <c r="G62" s="1"/>
      <c r="H62" s="1"/>
      <c r="I62" s="1"/>
      <c r="J62" s="1"/>
      <c r="K62" s="1" t="s">
        <v>41</v>
      </c>
      <c r="L62" s="1" t="s">
        <v>41</v>
      </c>
      <c r="M62" s="1" t="s">
        <v>41</v>
      </c>
      <c r="N62" s="1" t="s">
        <v>41</v>
      </c>
      <c r="O62" s="1" t="s">
        <v>41</v>
      </c>
      <c r="P62" s="1" t="s">
        <v>41</v>
      </c>
      <c r="Q62" s="1" t="s">
        <v>41</v>
      </c>
      <c r="R62" s="1" t="s">
        <v>41</v>
      </c>
      <c r="S62" s="1" t="s">
        <v>41</v>
      </c>
      <c r="T62" s="1" t="s">
        <v>41</v>
      </c>
      <c r="U62" s="1" t="s">
        <v>41</v>
      </c>
      <c r="V62" s="1" t="s">
        <v>41</v>
      </c>
      <c r="W62" s="1" t="s">
        <v>41</v>
      </c>
      <c r="X62" s="1" t="s">
        <v>41</v>
      </c>
      <c r="Y62" s="1" t="s">
        <v>41</v>
      </c>
      <c r="Z62" s="1" t="s">
        <v>41</v>
      </c>
      <c r="AA62" s="1" t="s">
        <v>41</v>
      </c>
      <c r="AB62" s="1" t="s">
        <v>41</v>
      </c>
      <c r="AC62" s="1" t="s">
        <v>41</v>
      </c>
      <c r="AD62" s="1" t="s">
        <v>41</v>
      </c>
      <c r="AE62" s="1" t="s">
        <v>41</v>
      </c>
      <c r="AF62" s="1" t="s">
        <v>41</v>
      </c>
      <c r="AG62" s="1"/>
      <c r="AH62" s="134">
        <f>COUNTIF(C62:AG62,"P")</f>
        <v>22</v>
      </c>
      <c r="AI62" s="134">
        <f>COUNTIF(D62:AH62,"P/2")</f>
        <v>0</v>
      </c>
      <c r="AJ62" s="15"/>
      <c r="AK62" s="137">
        <f>COUNTIF(C64:AG64,"BAAS")</f>
        <v>0</v>
      </c>
      <c r="AL62" s="137">
        <f>COUNTIF(D64:AH64,"RCML")</f>
        <v>0</v>
      </c>
      <c r="AM62" s="137">
        <f>COUNTIF(E64:AJ64,"PRE")</f>
        <v>0</v>
      </c>
      <c r="AN62" s="138">
        <f>COUNTIF(F64:AK64,"BAKR")</f>
        <v>0</v>
      </c>
      <c r="AO62" s="139">
        <v>700</v>
      </c>
      <c r="AP62" s="129">
        <f>AO62*AI62/2</f>
        <v>0</v>
      </c>
      <c r="AQ62" s="129">
        <f>AH62*AO62+AP62</f>
        <v>15400</v>
      </c>
      <c r="AR62" s="129">
        <f>AJ63/8*AO62</f>
        <v>1925</v>
      </c>
      <c r="AS62" s="130">
        <f>AQ62+AR62</f>
        <v>17325</v>
      </c>
    </row>
    <row r="63" spans="1:45" x14ac:dyDescent="0.25">
      <c r="A63" s="132"/>
      <c r="B63" s="124"/>
      <c r="C63" s="9"/>
      <c r="D63" s="9"/>
      <c r="E63" s="9"/>
      <c r="F63" s="9"/>
      <c r="G63" s="9"/>
      <c r="H63" s="9"/>
      <c r="I63" s="9"/>
      <c r="J63" s="9"/>
      <c r="K63" s="9"/>
      <c r="L63" s="9">
        <v>1</v>
      </c>
      <c r="M63" s="9"/>
      <c r="N63" s="9"/>
      <c r="O63" s="9">
        <v>2</v>
      </c>
      <c r="P63" s="9"/>
      <c r="Q63" s="9">
        <v>1</v>
      </c>
      <c r="R63" s="9">
        <v>2</v>
      </c>
      <c r="S63" s="9"/>
      <c r="T63" s="9"/>
      <c r="U63" s="9"/>
      <c r="V63" s="9">
        <v>2</v>
      </c>
      <c r="W63" s="9">
        <v>1</v>
      </c>
      <c r="X63" s="9"/>
      <c r="Y63" s="9">
        <v>2</v>
      </c>
      <c r="Z63" s="9">
        <v>1</v>
      </c>
      <c r="AA63" s="9"/>
      <c r="AB63" s="9">
        <v>2</v>
      </c>
      <c r="AC63" s="9">
        <v>4</v>
      </c>
      <c r="AD63" s="9">
        <v>2</v>
      </c>
      <c r="AE63" s="9"/>
      <c r="AF63" s="9">
        <v>2</v>
      </c>
      <c r="AG63" s="9"/>
      <c r="AH63" s="135"/>
      <c r="AI63" s="135"/>
      <c r="AJ63" s="15">
        <f>SUM(C63:AG63)</f>
        <v>22</v>
      </c>
      <c r="AK63" s="137"/>
      <c r="AL63" s="137"/>
      <c r="AM63" s="137"/>
      <c r="AN63" s="138"/>
      <c r="AO63" s="140"/>
      <c r="AP63" s="129"/>
      <c r="AQ63" s="129"/>
      <c r="AR63" s="129"/>
      <c r="AS63" s="130"/>
    </row>
    <row r="64" spans="1:45" x14ac:dyDescent="0.25">
      <c r="A64" s="133"/>
      <c r="B64" s="125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36"/>
      <c r="AI64" s="136"/>
      <c r="AJ64" s="15"/>
      <c r="AK64" s="137"/>
      <c r="AL64" s="137"/>
      <c r="AM64" s="137"/>
      <c r="AN64" s="138"/>
      <c r="AO64" s="141"/>
      <c r="AP64" s="129"/>
      <c r="AQ64" s="129"/>
      <c r="AR64" s="129"/>
      <c r="AS64" s="130"/>
    </row>
    <row r="65" spans="1:45" x14ac:dyDescent="0.25">
      <c r="A65" s="131">
        <v>21</v>
      </c>
      <c r="B65" s="123" t="s">
        <v>89</v>
      </c>
      <c r="C65" s="1"/>
      <c r="D65" s="1"/>
      <c r="E65" s="1"/>
      <c r="F65" s="1"/>
      <c r="G65" s="1"/>
      <c r="H65" s="1"/>
      <c r="I65" s="1"/>
      <c r="J65" s="1"/>
      <c r="K65" s="1" t="s">
        <v>41</v>
      </c>
      <c r="L65" s="1" t="s">
        <v>41</v>
      </c>
      <c r="M65" s="1" t="s">
        <v>41</v>
      </c>
      <c r="N65" s="1" t="s">
        <v>41</v>
      </c>
      <c r="O65" s="1" t="s">
        <v>41</v>
      </c>
      <c r="P65" s="1" t="s">
        <v>41</v>
      </c>
      <c r="Q65" s="1" t="s">
        <v>41</v>
      </c>
      <c r="R65" s="1" t="s">
        <v>41</v>
      </c>
      <c r="S65" s="1" t="s">
        <v>41</v>
      </c>
      <c r="T65" s="1" t="s">
        <v>41</v>
      </c>
      <c r="U65" s="1" t="s">
        <v>41</v>
      </c>
      <c r="V65" s="1" t="s">
        <v>41</v>
      </c>
      <c r="W65" s="1" t="s">
        <v>41</v>
      </c>
      <c r="X65" s="1" t="s">
        <v>41</v>
      </c>
      <c r="Y65" s="1" t="s">
        <v>41</v>
      </c>
      <c r="Z65" s="1" t="s">
        <v>41</v>
      </c>
      <c r="AA65" s="1" t="s">
        <v>41</v>
      </c>
      <c r="AB65" s="1" t="s">
        <v>41</v>
      </c>
      <c r="AC65" s="1" t="s">
        <v>41</v>
      </c>
      <c r="AD65" s="1" t="s">
        <v>41</v>
      </c>
      <c r="AE65" s="1" t="s">
        <v>41</v>
      </c>
      <c r="AF65" s="1" t="s">
        <v>41</v>
      </c>
      <c r="AG65" s="1"/>
      <c r="AH65" s="134">
        <f>COUNTIF(C65:AG65,"P")</f>
        <v>22</v>
      </c>
      <c r="AI65" s="134">
        <f>COUNTIF(D65:AH65,"P/2")</f>
        <v>0</v>
      </c>
      <c r="AJ65" s="15"/>
      <c r="AK65" s="137">
        <f>COUNTIF(C67:AG67,"BAAS")</f>
        <v>0</v>
      </c>
      <c r="AL65" s="137">
        <f>COUNTIF(D67:AH67,"RCML")</f>
        <v>0</v>
      </c>
      <c r="AM65" s="137">
        <f>COUNTIF(E67:AJ67,"PRE")</f>
        <v>0</v>
      </c>
      <c r="AN65" s="138">
        <f>COUNTIF(F67:AK67,"BAKR")</f>
        <v>0</v>
      </c>
      <c r="AO65" s="139">
        <v>700</v>
      </c>
      <c r="AP65" s="129">
        <f>AO65*AI65/2</f>
        <v>0</v>
      </c>
      <c r="AQ65" s="129">
        <f>AH65*AO65+AP65</f>
        <v>15400</v>
      </c>
      <c r="AR65" s="129">
        <f>AJ66/8*AO65</f>
        <v>2187.5</v>
      </c>
      <c r="AS65" s="130">
        <f>AQ65+AR65</f>
        <v>17587.5</v>
      </c>
    </row>
    <row r="66" spans="1:45" x14ac:dyDescent="0.25">
      <c r="A66" s="132"/>
      <c r="B66" s="124"/>
      <c r="C66" s="9"/>
      <c r="D66" s="9"/>
      <c r="E66" s="9"/>
      <c r="F66" s="9"/>
      <c r="G66" s="9"/>
      <c r="H66" s="9"/>
      <c r="I66" s="9"/>
      <c r="J66" s="9"/>
      <c r="K66" s="9"/>
      <c r="L66" s="9">
        <v>1</v>
      </c>
      <c r="M66" s="9"/>
      <c r="N66" s="9"/>
      <c r="O66" s="9"/>
      <c r="P66" s="9">
        <v>4</v>
      </c>
      <c r="Q66" s="9">
        <v>2</v>
      </c>
      <c r="R66" s="9">
        <v>2</v>
      </c>
      <c r="S66" s="9"/>
      <c r="T66" s="9"/>
      <c r="U66" s="9">
        <v>1</v>
      </c>
      <c r="V66" s="9">
        <v>2</v>
      </c>
      <c r="W66" s="9">
        <v>1</v>
      </c>
      <c r="X66" s="9"/>
      <c r="Y66" s="9">
        <v>2</v>
      </c>
      <c r="Z66" s="9"/>
      <c r="AA66" s="9"/>
      <c r="AB66" s="9">
        <v>2</v>
      </c>
      <c r="AC66" s="9">
        <v>4</v>
      </c>
      <c r="AD66" s="9">
        <v>2</v>
      </c>
      <c r="AE66" s="9"/>
      <c r="AF66" s="9">
        <v>2</v>
      </c>
      <c r="AG66" s="9"/>
      <c r="AH66" s="135"/>
      <c r="AI66" s="135"/>
      <c r="AJ66" s="15">
        <f>SUM(C66:AG66)</f>
        <v>25</v>
      </c>
      <c r="AK66" s="137"/>
      <c r="AL66" s="137"/>
      <c r="AM66" s="137"/>
      <c r="AN66" s="138"/>
      <c r="AO66" s="140"/>
      <c r="AP66" s="129"/>
      <c r="AQ66" s="129"/>
      <c r="AR66" s="129"/>
      <c r="AS66" s="130"/>
    </row>
    <row r="67" spans="1:45" x14ac:dyDescent="0.25">
      <c r="A67" s="133"/>
      <c r="B67" s="125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36"/>
      <c r="AI67" s="136"/>
      <c r="AJ67" s="15"/>
      <c r="AK67" s="137"/>
      <c r="AL67" s="137"/>
      <c r="AM67" s="137"/>
      <c r="AN67" s="138"/>
      <c r="AO67" s="141"/>
      <c r="AP67" s="129"/>
      <c r="AQ67" s="129"/>
      <c r="AR67" s="129"/>
      <c r="AS67" s="130"/>
    </row>
    <row r="68" spans="1:45" x14ac:dyDescent="0.25">
      <c r="A68" s="131">
        <v>22</v>
      </c>
      <c r="B68" s="123" t="s">
        <v>90</v>
      </c>
      <c r="C68" s="1"/>
      <c r="D68" s="1"/>
      <c r="E68" s="1"/>
      <c r="F68" s="1"/>
      <c r="G68" s="1"/>
      <c r="H68" s="1"/>
      <c r="I68" s="1"/>
      <c r="J68" s="1"/>
      <c r="K68" s="1" t="s">
        <v>41</v>
      </c>
      <c r="L68" s="1" t="s">
        <v>41</v>
      </c>
      <c r="M68" s="1" t="s">
        <v>41</v>
      </c>
      <c r="N68" s="1" t="s">
        <v>41</v>
      </c>
      <c r="O68" s="1" t="s">
        <v>41</v>
      </c>
      <c r="P68" s="1" t="s">
        <v>41</v>
      </c>
      <c r="Q68" s="1" t="s">
        <v>41</v>
      </c>
      <c r="R68" s="1" t="s">
        <v>52</v>
      </c>
      <c r="S68" s="1" t="s">
        <v>41</v>
      </c>
      <c r="T68" s="1" t="s">
        <v>41</v>
      </c>
      <c r="U68" s="1" t="s">
        <v>41</v>
      </c>
      <c r="V68" s="1" t="s">
        <v>52</v>
      </c>
      <c r="W68" s="1" t="s">
        <v>52</v>
      </c>
      <c r="X68" s="1" t="s">
        <v>41</v>
      </c>
      <c r="Y68" s="1" t="s">
        <v>41</v>
      </c>
      <c r="Z68" s="1" t="s">
        <v>41</v>
      </c>
      <c r="AA68" s="1" t="s">
        <v>41</v>
      </c>
      <c r="AB68" s="1" t="s">
        <v>41</v>
      </c>
      <c r="AC68" s="1" t="s">
        <v>41</v>
      </c>
      <c r="AD68" s="1" t="s">
        <v>41</v>
      </c>
      <c r="AE68" s="1" t="s">
        <v>41</v>
      </c>
      <c r="AF68" s="1" t="s">
        <v>52</v>
      </c>
      <c r="AG68" s="1"/>
      <c r="AH68" s="134">
        <f>COUNTIF(C68:AG68,"P")</f>
        <v>18</v>
      </c>
      <c r="AI68" s="134">
        <f>COUNTIF(D68:AH68,"P/2")</f>
        <v>0</v>
      </c>
      <c r="AJ68" s="15"/>
      <c r="AK68" s="137">
        <f>COUNTIF(C70:AG70,"BAAS")</f>
        <v>0</v>
      </c>
      <c r="AL68" s="137">
        <f>COUNTIF(D70:AH70,"RCML")</f>
        <v>0</v>
      </c>
      <c r="AM68" s="137">
        <f>COUNTIF(E70:AJ70,"PRE")</f>
        <v>0</v>
      </c>
      <c r="AN68" s="138">
        <f>COUNTIF(F70:AK70,"BAKR")</f>
        <v>0</v>
      </c>
      <c r="AO68" s="139">
        <v>700</v>
      </c>
      <c r="AP68" s="129">
        <f>AO68*AI68/2</f>
        <v>0</v>
      </c>
      <c r="AQ68" s="129">
        <f>AH68*AO68+AP68</f>
        <v>12600</v>
      </c>
      <c r="AR68" s="129">
        <f>AJ69/8*AO68</f>
        <v>1750</v>
      </c>
      <c r="AS68" s="130">
        <f>AQ68+AR68</f>
        <v>14350</v>
      </c>
    </row>
    <row r="69" spans="1:45" x14ac:dyDescent="0.25">
      <c r="A69" s="132"/>
      <c r="B69" s="124"/>
      <c r="C69" s="9"/>
      <c r="D69" s="9"/>
      <c r="E69" s="9"/>
      <c r="F69" s="9"/>
      <c r="G69" s="9"/>
      <c r="H69" s="9"/>
      <c r="I69" s="9"/>
      <c r="J69" s="9"/>
      <c r="K69" s="9"/>
      <c r="L69" s="9">
        <v>2</v>
      </c>
      <c r="M69" s="9"/>
      <c r="N69" s="9"/>
      <c r="O69" s="9">
        <v>1</v>
      </c>
      <c r="P69" s="9">
        <v>4</v>
      </c>
      <c r="Q69" s="9"/>
      <c r="R69" s="9"/>
      <c r="S69" s="9"/>
      <c r="T69" s="9">
        <v>1</v>
      </c>
      <c r="U69" s="9"/>
      <c r="V69" s="9"/>
      <c r="W69" s="9"/>
      <c r="X69" s="9"/>
      <c r="Y69" s="9">
        <v>4</v>
      </c>
      <c r="Z69" s="9">
        <v>1</v>
      </c>
      <c r="AA69" s="9">
        <v>4</v>
      </c>
      <c r="AB69" s="9"/>
      <c r="AC69" s="9">
        <v>1</v>
      </c>
      <c r="AD69" s="9">
        <v>2</v>
      </c>
      <c r="AE69" s="9"/>
      <c r="AF69" s="9"/>
      <c r="AG69" s="9"/>
      <c r="AH69" s="135"/>
      <c r="AI69" s="135"/>
      <c r="AJ69" s="15">
        <f>SUM(C69:AG69)</f>
        <v>20</v>
      </c>
      <c r="AK69" s="137"/>
      <c r="AL69" s="137"/>
      <c r="AM69" s="137"/>
      <c r="AN69" s="138"/>
      <c r="AO69" s="140"/>
      <c r="AP69" s="129"/>
      <c r="AQ69" s="129"/>
      <c r="AR69" s="129"/>
      <c r="AS69" s="130"/>
    </row>
    <row r="70" spans="1:45" x14ac:dyDescent="0.25">
      <c r="A70" s="133"/>
      <c r="B70" s="125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36"/>
      <c r="AI70" s="136"/>
      <c r="AJ70" s="15"/>
      <c r="AK70" s="137"/>
      <c r="AL70" s="137"/>
      <c r="AM70" s="137"/>
      <c r="AN70" s="138"/>
      <c r="AO70" s="141"/>
      <c r="AP70" s="129"/>
      <c r="AQ70" s="129"/>
      <c r="AR70" s="129"/>
      <c r="AS70" s="130"/>
    </row>
    <row r="71" spans="1:45" x14ac:dyDescent="0.25">
      <c r="A71" s="131">
        <v>23</v>
      </c>
      <c r="B71" s="123" t="s">
        <v>91</v>
      </c>
      <c r="C71" s="1"/>
      <c r="D71" s="1"/>
      <c r="E71" s="1"/>
      <c r="F71" s="1"/>
      <c r="G71" s="1"/>
      <c r="H71" s="1"/>
      <c r="I71" s="1"/>
      <c r="J71" s="1"/>
      <c r="K71" s="1" t="s">
        <v>41</v>
      </c>
      <c r="L71" s="1" t="s">
        <v>41</v>
      </c>
      <c r="M71" s="1" t="s">
        <v>41</v>
      </c>
      <c r="N71" s="1" t="s">
        <v>41</v>
      </c>
      <c r="O71" s="1" t="s">
        <v>41</v>
      </c>
      <c r="P71" s="1" t="s">
        <v>41</v>
      </c>
      <c r="Q71" s="1" t="s">
        <v>41</v>
      </c>
      <c r="R71" s="1" t="s">
        <v>41</v>
      </c>
      <c r="S71" s="1" t="s">
        <v>41</v>
      </c>
      <c r="T71" s="1" t="s">
        <v>41</v>
      </c>
      <c r="U71" s="1" t="s">
        <v>41</v>
      </c>
      <c r="V71" s="1" t="s">
        <v>52</v>
      </c>
      <c r="W71" s="1" t="s">
        <v>41</v>
      </c>
      <c r="X71" s="1" t="s">
        <v>41</v>
      </c>
      <c r="Y71" s="1" t="s">
        <v>41</v>
      </c>
      <c r="Z71" s="1" t="s">
        <v>41</v>
      </c>
      <c r="AA71" s="1" t="s">
        <v>41</v>
      </c>
      <c r="AB71" s="1" t="s">
        <v>41</v>
      </c>
      <c r="AC71" s="1" t="s">
        <v>41</v>
      </c>
      <c r="AD71" s="1" t="s">
        <v>41</v>
      </c>
      <c r="AE71" s="1" t="s">
        <v>41</v>
      </c>
      <c r="AF71" s="1" t="s">
        <v>41</v>
      </c>
      <c r="AG71" s="1"/>
      <c r="AH71" s="134">
        <f>COUNTIF(C71:AG71,"P")</f>
        <v>21</v>
      </c>
      <c r="AI71" s="134">
        <f>COUNTIF(D71:AH71,"P/2")</f>
        <v>0</v>
      </c>
      <c r="AJ71" s="15"/>
      <c r="AK71" s="137">
        <f>COUNTIF(C73:AG73,"BAAS")</f>
        <v>0</v>
      </c>
      <c r="AL71" s="137">
        <f>COUNTIF(D73:AH73,"RCML")</f>
        <v>0</v>
      </c>
      <c r="AM71" s="137">
        <f>COUNTIF(E73:AJ73,"PRE")</f>
        <v>0</v>
      </c>
      <c r="AN71" s="138">
        <f>COUNTIF(F73:AK73,"BAKR")</f>
        <v>0</v>
      </c>
      <c r="AO71" s="139">
        <v>700</v>
      </c>
      <c r="AP71" s="129">
        <f>AO71*AI71/2</f>
        <v>0</v>
      </c>
      <c r="AQ71" s="129">
        <f>AH71*AO71+AP71</f>
        <v>14700</v>
      </c>
      <c r="AR71" s="129">
        <f>AJ72/8*AO71</f>
        <v>2100</v>
      </c>
      <c r="AS71" s="130">
        <f>AQ71+AR71</f>
        <v>16800</v>
      </c>
    </row>
    <row r="72" spans="1:45" x14ac:dyDescent="0.25">
      <c r="A72" s="132"/>
      <c r="B72" s="124"/>
      <c r="C72" s="9"/>
      <c r="D72" s="9"/>
      <c r="E72" s="9"/>
      <c r="F72" s="9"/>
      <c r="G72" s="9"/>
      <c r="H72" s="9"/>
      <c r="I72" s="9"/>
      <c r="J72" s="9"/>
      <c r="K72" s="9"/>
      <c r="L72" s="9">
        <v>1</v>
      </c>
      <c r="M72" s="9"/>
      <c r="N72" s="9"/>
      <c r="O72" s="9">
        <v>2</v>
      </c>
      <c r="P72" s="9">
        <v>4</v>
      </c>
      <c r="Q72" s="9">
        <v>1</v>
      </c>
      <c r="R72" s="9">
        <v>1</v>
      </c>
      <c r="S72" s="9"/>
      <c r="T72" s="9"/>
      <c r="U72" s="9"/>
      <c r="V72" s="9"/>
      <c r="W72" s="9">
        <v>1</v>
      </c>
      <c r="X72" s="9"/>
      <c r="Y72" s="9">
        <v>4</v>
      </c>
      <c r="Z72" s="9">
        <v>1</v>
      </c>
      <c r="AA72" s="9">
        <v>4</v>
      </c>
      <c r="AB72" s="9">
        <v>2</v>
      </c>
      <c r="AC72" s="9">
        <v>1</v>
      </c>
      <c r="AD72" s="9">
        <v>1</v>
      </c>
      <c r="AE72" s="9"/>
      <c r="AF72" s="9">
        <v>1</v>
      </c>
      <c r="AG72" s="9"/>
      <c r="AH72" s="135"/>
      <c r="AI72" s="135"/>
      <c r="AJ72" s="15">
        <f>SUM(C72:AG72)</f>
        <v>24</v>
      </c>
      <c r="AK72" s="137"/>
      <c r="AL72" s="137"/>
      <c r="AM72" s="137"/>
      <c r="AN72" s="138"/>
      <c r="AO72" s="140"/>
      <c r="AP72" s="129"/>
      <c r="AQ72" s="129"/>
      <c r="AR72" s="129"/>
      <c r="AS72" s="130"/>
    </row>
    <row r="73" spans="1:45" x14ac:dyDescent="0.25">
      <c r="A73" s="133"/>
      <c r="B73" s="125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36"/>
      <c r="AI73" s="136"/>
      <c r="AJ73" s="15"/>
      <c r="AK73" s="137"/>
      <c r="AL73" s="137"/>
      <c r="AM73" s="137"/>
      <c r="AN73" s="138"/>
      <c r="AO73" s="141"/>
      <c r="AP73" s="129"/>
      <c r="AQ73" s="129"/>
      <c r="AR73" s="129"/>
      <c r="AS73" s="130"/>
    </row>
    <row r="74" spans="1:45" x14ac:dyDescent="0.25">
      <c r="A74" s="131">
        <v>24</v>
      </c>
      <c r="B74" s="123" t="s">
        <v>92</v>
      </c>
      <c r="C74" s="1"/>
      <c r="D74" s="1"/>
      <c r="E74" s="1"/>
      <c r="F74" s="1"/>
      <c r="G74" s="1"/>
      <c r="H74" s="1"/>
      <c r="I74" s="1"/>
      <c r="J74" s="1"/>
      <c r="K74" s="1" t="s">
        <v>41</v>
      </c>
      <c r="L74" s="1" t="s">
        <v>41</v>
      </c>
      <c r="M74" s="1" t="s">
        <v>41</v>
      </c>
      <c r="N74" s="1" t="s">
        <v>41</v>
      </c>
      <c r="O74" s="1" t="s">
        <v>41</v>
      </c>
      <c r="P74" s="1" t="s">
        <v>41</v>
      </c>
      <c r="Q74" s="1" t="s">
        <v>41</v>
      </c>
      <c r="R74" s="1" t="s">
        <v>41</v>
      </c>
      <c r="S74" s="1" t="s">
        <v>41</v>
      </c>
      <c r="T74" s="1" t="s">
        <v>41</v>
      </c>
      <c r="U74" s="1" t="s">
        <v>41</v>
      </c>
      <c r="V74" s="1" t="s">
        <v>52</v>
      </c>
      <c r="W74" s="1" t="s">
        <v>41</v>
      </c>
      <c r="X74" s="1" t="s">
        <v>41</v>
      </c>
      <c r="Y74" s="1" t="s">
        <v>41</v>
      </c>
      <c r="Z74" s="1" t="s">
        <v>41</v>
      </c>
      <c r="AA74" s="1" t="s">
        <v>41</v>
      </c>
      <c r="AB74" s="1" t="s">
        <v>41</v>
      </c>
      <c r="AC74" s="1" t="s">
        <v>41</v>
      </c>
      <c r="AD74" s="1" t="s">
        <v>41</v>
      </c>
      <c r="AE74" s="1" t="s">
        <v>41</v>
      </c>
      <c r="AF74" s="1" t="s">
        <v>41</v>
      </c>
      <c r="AG74" s="1"/>
      <c r="AH74" s="134">
        <f>COUNTIF(C74:AG74,"P")</f>
        <v>21</v>
      </c>
      <c r="AI74" s="134">
        <f>COUNTIF(D74:AH74,"P/2")</f>
        <v>0</v>
      </c>
      <c r="AJ74" s="15"/>
      <c r="AK74" s="137">
        <f>COUNTIF(C76:AG76,"BAAS")</f>
        <v>0</v>
      </c>
      <c r="AL74" s="137">
        <f>COUNTIF(D76:AH76,"RCML")</f>
        <v>0</v>
      </c>
      <c r="AM74" s="137">
        <f>COUNTIF(E76:AJ76,"PRE")</f>
        <v>0</v>
      </c>
      <c r="AN74" s="138">
        <f>COUNTIF(F76:AK76,"BAKR")</f>
        <v>0</v>
      </c>
      <c r="AO74" s="139">
        <v>700</v>
      </c>
      <c r="AP74" s="129">
        <f>AO74*AI74/2</f>
        <v>0</v>
      </c>
      <c r="AQ74" s="129">
        <f>AH74*AO74+AP74</f>
        <v>14700</v>
      </c>
      <c r="AR74" s="129">
        <f>AJ75/8*AO74</f>
        <v>1662.5</v>
      </c>
      <c r="AS74" s="130">
        <f>AQ74+AR74</f>
        <v>16362.5</v>
      </c>
    </row>
    <row r="75" spans="1:45" x14ac:dyDescent="0.25">
      <c r="A75" s="132"/>
      <c r="B75" s="124"/>
      <c r="C75" s="9"/>
      <c r="D75" s="9"/>
      <c r="E75" s="9"/>
      <c r="F75" s="9"/>
      <c r="G75" s="9"/>
      <c r="H75" s="9"/>
      <c r="I75" s="9"/>
      <c r="J75" s="9"/>
      <c r="K75" s="9"/>
      <c r="L75" s="9">
        <v>1</v>
      </c>
      <c r="M75" s="9"/>
      <c r="N75" s="9"/>
      <c r="O75" s="9">
        <v>2</v>
      </c>
      <c r="P75" s="9"/>
      <c r="Q75" s="9"/>
      <c r="R75" s="9">
        <v>1</v>
      </c>
      <c r="S75" s="9"/>
      <c r="T75" s="9">
        <v>1</v>
      </c>
      <c r="U75" s="9"/>
      <c r="V75" s="9"/>
      <c r="W75" s="9">
        <v>1</v>
      </c>
      <c r="X75" s="9"/>
      <c r="Y75" s="9">
        <v>4</v>
      </c>
      <c r="Z75" s="9">
        <v>3</v>
      </c>
      <c r="AA75" s="9">
        <v>2</v>
      </c>
      <c r="AB75" s="9"/>
      <c r="AC75" s="9">
        <v>1</v>
      </c>
      <c r="AD75" s="9">
        <v>1</v>
      </c>
      <c r="AE75" s="9"/>
      <c r="AF75" s="9">
        <v>2</v>
      </c>
      <c r="AG75" s="9"/>
      <c r="AH75" s="135"/>
      <c r="AI75" s="135"/>
      <c r="AJ75" s="15">
        <f>SUM(C75:AG75)</f>
        <v>19</v>
      </c>
      <c r="AK75" s="137"/>
      <c r="AL75" s="137"/>
      <c r="AM75" s="137"/>
      <c r="AN75" s="138"/>
      <c r="AO75" s="140"/>
      <c r="AP75" s="129"/>
      <c r="AQ75" s="129"/>
      <c r="AR75" s="129"/>
      <c r="AS75" s="130"/>
    </row>
    <row r="76" spans="1:45" x14ac:dyDescent="0.25">
      <c r="A76" s="133"/>
      <c r="B76" s="125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36"/>
      <c r="AI76" s="136"/>
      <c r="AJ76" s="15"/>
      <c r="AK76" s="137"/>
      <c r="AL76" s="137"/>
      <c r="AM76" s="137"/>
      <c r="AN76" s="138"/>
      <c r="AO76" s="141"/>
      <c r="AP76" s="129"/>
      <c r="AQ76" s="129"/>
      <c r="AR76" s="129"/>
      <c r="AS76" s="130"/>
    </row>
    <row r="77" spans="1:45" x14ac:dyDescent="0.25">
      <c r="A77" s="131">
        <v>25</v>
      </c>
      <c r="B77" s="123" t="s">
        <v>93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 t="s">
        <v>41</v>
      </c>
      <c r="Q77" s="1" t="s">
        <v>41</v>
      </c>
      <c r="R77" s="1" t="s">
        <v>41</v>
      </c>
      <c r="S77" s="1" t="s">
        <v>41</v>
      </c>
      <c r="T77" s="1" t="s">
        <v>41</v>
      </c>
      <c r="U77" s="1" t="s">
        <v>41</v>
      </c>
      <c r="V77" s="1" t="s">
        <v>52</v>
      </c>
      <c r="W77" s="1" t="s">
        <v>41</v>
      </c>
      <c r="X77" s="1" t="s">
        <v>41</v>
      </c>
      <c r="Y77" s="1" t="s">
        <v>41</v>
      </c>
      <c r="Z77" s="1" t="s">
        <v>41</v>
      </c>
      <c r="AA77" s="1" t="s">
        <v>41</v>
      </c>
      <c r="AB77" s="1" t="s">
        <v>41</v>
      </c>
      <c r="AC77" s="1" t="s">
        <v>41</v>
      </c>
      <c r="AD77" s="1" t="s">
        <v>41</v>
      </c>
      <c r="AE77" s="1" t="s">
        <v>41</v>
      </c>
      <c r="AF77" s="1" t="s">
        <v>41</v>
      </c>
      <c r="AG77" s="1"/>
      <c r="AH77" s="134">
        <f>COUNTIF(C77:AG77,"P")</f>
        <v>16</v>
      </c>
      <c r="AI77" s="134">
        <f>COUNTIF(D77:AH77,"P/2")</f>
        <v>0</v>
      </c>
      <c r="AJ77" s="15"/>
      <c r="AK77" s="137">
        <f>COUNTIF(C79:AG79,"BAAS")</f>
        <v>0</v>
      </c>
      <c r="AL77" s="137">
        <f>COUNTIF(D79:AH79,"RCML")</f>
        <v>0</v>
      </c>
      <c r="AM77" s="137">
        <f>COUNTIF(E79:AJ79,"PRE")</f>
        <v>0</v>
      </c>
      <c r="AN77" s="138">
        <f>COUNTIF(F79:AK79,"BAKR")</f>
        <v>0</v>
      </c>
      <c r="AO77" s="139">
        <v>700</v>
      </c>
      <c r="AP77" s="129">
        <f>AO77*AI77/2</f>
        <v>0</v>
      </c>
      <c r="AQ77" s="129">
        <f>AH77*AO77+AP77</f>
        <v>11200</v>
      </c>
      <c r="AR77" s="129">
        <f>AJ78/8*AO77</f>
        <v>1225</v>
      </c>
      <c r="AS77" s="130">
        <f>AQ77+AR77</f>
        <v>12425</v>
      </c>
    </row>
    <row r="78" spans="1:45" x14ac:dyDescent="0.25">
      <c r="A78" s="132"/>
      <c r="B78" s="124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>
        <v>4</v>
      </c>
      <c r="Z78" s="9">
        <v>3</v>
      </c>
      <c r="AA78" s="9">
        <v>4</v>
      </c>
      <c r="AB78" s="9"/>
      <c r="AC78" s="9"/>
      <c r="AD78" s="9">
        <v>1</v>
      </c>
      <c r="AE78" s="9"/>
      <c r="AF78" s="9">
        <v>2</v>
      </c>
      <c r="AG78" s="9"/>
      <c r="AH78" s="135"/>
      <c r="AI78" s="135"/>
      <c r="AJ78" s="15">
        <f>SUM(C78:AG78)</f>
        <v>14</v>
      </c>
      <c r="AK78" s="137"/>
      <c r="AL78" s="137"/>
      <c r="AM78" s="137"/>
      <c r="AN78" s="138"/>
      <c r="AO78" s="140"/>
      <c r="AP78" s="129"/>
      <c r="AQ78" s="129"/>
      <c r="AR78" s="129"/>
      <c r="AS78" s="130"/>
    </row>
    <row r="79" spans="1:45" x14ac:dyDescent="0.25">
      <c r="A79" s="133"/>
      <c r="B79" s="125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36"/>
      <c r="AI79" s="136"/>
      <c r="AJ79" s="15"/>
      <c r="AK79" s="137"/>
      <c r="AL79" s="137"/>
      <c r="AM79" s="137"/>
      <c r="AN79" s="138"/>
      <c r="AO79" s="141"/>
      <c r="AP79" s="129"/>
      <c r="AQ79" s="129"/>
      <c r="AR79" s="129"/>
      <c r="AS79" s="130"/>
    </row>
    <row r="80" spans="1:45" hidden="1" x14ac:dyDescent="0.25">
      <c r="C80" s="12" t="e">
        <f>C6+C9+C12+C15+C18+C21+C24+C27+C30+C33+#REF!+C36+C39+C42+#REF!+C45+C48</f>
        <v>#REF!</v>
      </c>
      <c r="D80" s="12" t="e">
        <f>D6+D9+D12+D15+D18+D21+D24+D27+D30+D33+#REF!+D36+D39+D42+#REF!+D45+D48</f>
        <v>#REF!</v>
      </c>
      <c r="E80" s="12" t="e">
        <f>E6+E9+E12+E15+E18+E21+E24+E27+E30+E33+#REF!+E36+E39+E42+#REF!+E45+E48</f>
        <v>#REF!</v>
      </c>
      <c r="F80" s="12" t="e">
        <f>F6+F9+F12+F15+F18+F21+F24+F27+F30+F33+#REF!+F36+F39+F42+#REF!+F45+F48</f>
        <v>#REF!</v>
      </c>
      <c r="G80" s="12" t="e">
        <f>G6+G9+G12+G15+G18+G21+G24+G27+G30+G33+#REF!+G36+G39+G42+#REF!+G45+G48</f>
        <v>#REF!</v>
      </c>
      <c r="H80" s="12" t="e">
        <f>H6+H9+H12+H15+H18+H21+H24+H27+H30+H33+#REF!+H36+H39+H42+#REF!+H45+H48</f>
        <v>#REF!</v>
      </c>
      <c r="I80" s="12" t="e">
        <f>I6+I9+I12+I15+I18+I21+I24+I27+I30+I33+#REF!+I36+I39+I42+#REF!+I45+I48</f>
        <v>#REF!</v>
      </c>
      <c r="J80" s="12" t="e">
        <f>J6+J9+J12+J15+J18+J21+J24+J27+J30+J33+#REF!+J36+J39+J42+#REF!+J45+J48</f>
        <v>#REF!</v>
      </c>
      <c r="K80" s="12" t="e">
        <f>K6+K9+K12+K15+K18+K21+K24+K27+K30+K33+#REF!+K36+K39+K42+#REF!+K45+K48</f>
        <v>#REF!</v>
      </c>
      <c r="L80" s="12" t="e">
        <f>L6+L9+L12+L15+L18+L21+L24+L27+L30+L33+#REF!+L36+L39+L42+#REF!+L45+L48</f>
        <v>#REF!</v>
      </c>
      <c r="M80" s="12" t="e">
        <f>M6+M9+M12+M15+M18+M21+M24+M27+M30+M33+#REF!+M36+M39+M42+#REF!+M45+M48</f>
        <v>#REF!</v>
      </c>
      <c r="N80" s="12" t="e">
        <f>N6+N9+N12+N15+N18+N21+N24+N27+N30+N33+#REF!+N36+N39+N42+#REF!+N45+N48</f>
        <v>#REF!</v>
      </c>
      <c r="O80" s="12" t="e">
        <f>O6+O9+O12+O15+O18+O21+O24+O27+O30+O33+#REF!+O36+O39+O42+#REF!+O45+O48</f>
        <v>#REF!</v>
      </c>
      <c r="P80" s="12" t="e">
        <f>P6+P9+P12+P15+P18+P21+P24+P27+P30+P33+#REF!+P36+P39+P42+#REF!+P45+P48</f>
        <v>#REF!</v>
      </c>
      <c r="Q80" s="12" t="e">
        <f>Q6+Q9+Q12+Q15+Q18+Q21+Q24+Q27+Q30+Q33+#REF!+Q36+Q39+Q42+#REF!+Q45+Q48</f>
        <v>#REF!</v>
      </c>
      <c r="R80" s="12" t="e">
        <f>R6+R9+R12+R15+R18+R21+R24+R27+R30+R33+#REF!+R36+R39+R42+#REF!+R45+R48</f>
        <v>#REF!</v>
      </c>
      <c r="S80" s="12" t="e">
        <f>S6+S9+S12+S15+S18+S21+S24+S27+S30+S33+#REF!+S36+S39+S42+#REF!+S45+S48</f>
        <v>#REF!</v>
      </c>
      <c r="T80" s="12" t="e">
        <f>T6+T9+T12+T15+T18+T21+T24+T27+T30+T33+#REF!+T36+T39+T42+#REF!+T45+T48</f>
        <v>#REF!</v>
      </c>
      <c r="U80" s="12" t="e">
        <f>U6+U9+U12+U15+U18+U21+U24+U27+U30+U33+#REF!+U36+U39+U42+#REF!+U45+U48</f>
        <v>#REF!</v>
      </c>
      <c r="V80" s="12" t="e">
        <f>V6+V9+V12+V15+V18+V21+V24+V27+V30+V33+#REF!+V36+V39+V42+#REF!+V45+V48</f>
        <v>#REF!</v>
      </c>
      <c r="W80" s="12" t="e">
        <f>W6+W9+W12+W15+W18+W21+W24+W27+W30+W33+#REF!+W36+W39+W42+#REF!+W45+W48</f>
        <v>#REF!</v>
      </c>
      <c r="X80" s="12" t="e">
        <f>X6+X9+X12+X15+X18+X21+X24+X27+X30+X33+#REF!+X36+X39+X42+#REF!+X45+X48</f>
        <v>#REF!</v>
      </c>
      <c r="Y80" s="12" t="e">
        <f>Y6+Y9+Y12+Y15+Y18+Y21+Y24+Y27+Y30+Y33+#REF!+Y36+Y39+Y42+#REF!+Y45+Y48</f>
        <v>#REF!</v>
      </c>
      <c r="Z80" s="12" t="e">
        <f>Z6+Z9+Z12+Z15+Z18+Z21+Z24+Z27+Z30+Z33+#REF!+Z36+Z39+Z42+#REF!+Z45+Z48</f>
        <v>#REF!</v>
      </c>
      <c r="AA80" s="12" t="e">
        <f>AA6+AA9+AA12+AA15+AA18+AA21+AA24+AA27+AA30+AA33+#REF!+AA36+AA39+AA42+#REF!+AA45+AA48</f>
        <v>#REF!</v>
      </c>
      <c r="AB80" s="12" t="e">
        <f>AB6+AB9+AB12+AB15+AB18+AB21+AB24+AB27+AB30+AB33+#REF!+AB36+AB39+AB42+#REF!+AB45+AB48</f>
        <v>#REF!</v>
      </c>
      <c r="AC80" s="12" t="e">
        <f>AC6+AC9+AC12+AC15+AC18+AC21+AC24+AC27+AC30+AC33+#REF!+AC36+AC39+AC42+#REF!+AC45+AC48</f>
        <v>#REF!</v>
      </c>
      <c r="AD80" s="12" t="e">
        <f>AD6+AD9+AD12+AD15+AD18+AD21+AD24+AD27+AD30+AD33+#REF!+AD36+AD39+AD42+#REF!+AD45+AD48</f>
        <v>#REF!</v>
      </c>
      <c r="AE80" s="12" t="e">
        <f>AE6+AE9+AE12+AE15+AE18+AE21+AE24+AE27+AE30+AE33+#REF!+AE36+AE39+AE42+#REF!+AE45+AE48</f>
        <v>#REF!</v>
      </c>
      <c r="AF80" s="12" t="e">
        <f>AF6+AF9+AF12+AF15+AF18+AF21+AF24+AF27+AF30+AF33+#REF!+AF36+AF39+AF42+#REF!+AF45+AF48</f>
        <v>#REF!</v>
      </c>
      <c r="AG80" s="12" t="e">
        <f>AG6+AG9+AG12+AG15+AG18+AG21+AG24+AG27+AG30+AG33+#REF!+AG36+AG39+AG42+#REF!+AG45+AG48</f>
        <v>#REF!</v>
      </c>
      <c r="AH80" t="e">
        <f>SUM(C80:AG80)</f>
        <v>#REF!</v>
      </c>
    </row>
    <row r="81" spans="1:45" hidden="1" x14ac:dyDescent="0.25">
      <c r="C81">
        <f t="shared" ref="C81:AG81" si="0">COUNTIF(C7:C79,"BAAS")</f>
        <v>0</v>
      </c>
      <c r="D81">
        <f t="shared" si="0"/>
        <v>0</v>
      </c>
      <c r="E81">
        <f t="shared" si="0"/>
        <v>0</v>
      </c>
      <c r="F81">
        <f t="shared" si="0"/>
        <v>0</v>
      </c>
      <c r="G81">
        <f t="shared" si="0"/>
        <v>0</v>
      </c>
      <c r="H81">
        <f t="shared" si="0"/>
        <v>0</v>
      </c>
      <c r="I81">
        <f t="shared" si="0"/>
        <v>0</v>
      </c>
      <c r="J81">
        <f t="shared" si="0"/>
        <v>0</v>
      </c>
      <c r="K81">
        <f t="shared" si="0"/>
        <v>0</v>
      </c>
      <c r="L81">
        <f t="shared" si="0"/>
        <v>0</v>
      </c>
      <c r="M81">
        <f t="shared" si="0"/>
        <v>0</v>
      </c>
      <c r="N81">
        <f t="shared" si="0"/>
        <v>0</v>
      </c>
      <c r="O81">
        <f t="shared" si="0"/>
        <v>0</v>
      </c>
      <c r="P81">
        <f t="shared" si="0"/>
        <v>0</v>
      </c>
      <c r="Q81">
        <f t="shared" si="0"/>
        <v>0</v>
      </c>
      <c r="R81">
        <f t="shared" si="0"/>
        <v>0</v>
      </c>
      <c r="S81">
        <f t="shared" si="0"/>
        <v>0</v>
      </c>
      <c r="T81">
        <f t="shared" si="0"/>
        <v>0</v>
      </c>
      <c r="U81">
        <f t="shared" si="0"/>
        <v>0</v>
      </c>
      <c r="V81">
        <f t="shared" si="0"/>
        <v>0</v>
      </c>
      <c r="W81">
        <f t="shared" si="0"/>
        <v>0</v>
      </c>
      <c r="X81">
        <f t="shared" si="0"/>
        <v>0</v>
      </c>
      <c r="Y81">
        <f t="shared" si="0"/>
        <v>0</v>
      </c>
      <c r="Z81">
        <f t="shared" si="0"/>
        <v>0</v>
      </c>
      <c r="AA81">
        <f t="shared" si="0"/>
        <v>0</v>
      </c>
      <c r="AB81">
        <f t="shared" si="0"/>
        <v>0</v>
      </c>
      <c r="AC81">
        <f t="shared" si="0"/>
        <v>0</v>
      </c>
      <c r="AD81">
        <f t="shared" si="0"/>
        <v>0</v>
      </c>
      <c r="AE81">
        <f t="shared" si="0"/>
        <v>0</v>
      </c>
      <c r="AF81">
        <f t="shared" si="0"/>
        <v>0</v>
      </c>
      <c r="AG81">
        <f t="shared" si="0"/>
        <v>0</v>
      </c>
      <c r="AH81">
        <f>SUM(C81:AG81)</f>
        <v>0</v>
      </c>
    </row>
    <row r="82" spans="1:45" hidden="1" x14ac:dyDescent="0.25">
      <c r="C82">
        <f t="shared" ref="C82:AG82" si="1">COUNTIF(C5:C49,"RCML")</f>
        <v>0</v>
      </c>
      <c r="D82">
        <f t="shared" si="1"/>
        <v>0</v>
      </c>
      <c r="E82">
        <f t="shared" si="1"/>
        <v>0</v>
      </c>
      <c r="F82">
        <f t="shared" si="1"/>
        <v>0</v>
      </c>
      <c r="G82">
        <f t="shared" si="1"/>
        <v>0</v>
      </c>
      <c r="H82">
        <f t="shared" si="1"/>
        <v>0</v>
      </c>
      <c r="I82">
        <f t="shared" si="1"/>
        <v>0</v>
      </c>
      <c r="J82">
        <f t="shared" si="1"/>
        <v>0</v>
      </c>
      <c r="K82">
        <f t="shared" si="1"/>
        <v>0</v>
      </c>
      <c r="L82">
        <f t="shared" si="1"/>
        <v>0</v>
      </c>
      <c r="M82">
        <f t="shared" si="1"/>
        <v>0</v>
      </c>
      <c r="N82">
        <f t="shared" si="1"/>
        <v>0</v>
      </c>
      <c r="O82">
        <f t="shared" si="1"/>
        <v>0</v>
      </c>
      <c r="P82">
        <f t="shared" si="1"/>
        <v>0</v>
      </c>
      <c r="Q82">
        <f t="shared" si="1"/>
        <v>0</v>
      </c>
      <c r="R82">
        <f t="shared" si="1"/>
        <v>0</v>
      </c>
      <c r="S82">
        <f t="shared" si="1"/>
        <v>0</v>
      </c>
      <c r="T82">
        <f t="shared" si="1"/>
        <v>0</v>
      </c>
      <c r="U82">
        <f t="shared" si="1"/>
        <v>0</v>
      </c>
      <c r="V82">
        <f t="shared" si="1"/>
        <v>0</v>
      </c>
      <c r="W82">
        <f t="shared" si="1"/>
        <v>0</v>
      </c>
      <c r="X82">
        <f t="shared" si="1"/>
        <v>0</v>
      </c>
      <c r="Y82">
        <f t="shared" si="1"/>
        <v>0</v>
      </c>
      <c r="Z82">
        <f t="shared" si="1"/>
        <v>0</v>
      </c>
      <c r="AA82">
        <f t="shared" si="1"/>
        <v>0</v>
      </c>
      <c r="AB82">
        <f t="shared" si="1"/>
        <v>0</v>
      </c>
      <c r="AC82">
        <f t="shared" si="1"/>
        <v>0</v>
      </c>
      <c r="AD82">
        <f t="shared" si="1"/>
        <v>0</v>
      </c>
      <c r="AE82">
        <f t="shared" si="1"/>
        <v>0</v>
      </c>
      <c r="AF82">
        <f t="shared" si="1"/>
        <v>0</v>
      </c>
      <c r="AG82">
        <f t="shared" si="1"/>
        <v>0</v>
      </c>
      <c r="AH82">
        <f>SUM(C82:AG82)</f>
        <v>0</v>
      </c>
    </row>
    <row r="83" spans="1:45" hidden="1" x14ac:dyDescent="0.25">
      <c r="C83">
        <f t="shared" ref="C83:AG83" si="2">COUNTIF(C6:C78,"PRE")</f>
        <v>0</v>
      </c>
      <c r="D83">
        <f t="shared" si="2"/>
        <v>0</v>
      </c>
      <c r="E83">
        <f t="shared" si="2"/>
        <v>0</v>
      </c>
      <c r="F83">
        <f t="shared" si="2"/>
        <v>0</v>
      </c>
      <c r="G83">
        <f t="shared" si="2"/>
        <v>0</v>
      </c>
      <c r="H83">
        <f t="shared" si="2"/>
        <v>0</v>
      </c>
      <c r="I83">
        <f t="shared" si="2"/>
        <v>0</v>
      </c>
      <c r="J83">
        <f t="shared" si="2"/>
        <v>0</v>
      </c>
      <c r="K83">
        <f t="shared" si="2"/>
        <v>0</v>
      </c>
      <c r="L83">
        <f t="shared" si="2"/>
        <v>0</v>
      </c>
      <c r="M83">
        <f t="shared" si="2"/>
        <v>0</v>
      </c>
      <c r="N83">
        <f t="shared" si="2"/>
        <v>0</v>
      </c>
      <c r="O83">
        <f t="shared" si="2"/>
        <v>0</v>
      </c>
      <c r="P83">
        <f t="shared" si="2"/>
        <v>0</v>
      </c>
      <c r="Q83">
        <f t="shared" si="2"/>
        <v>0</v>
      </c>
      <c r="R83">
        <f t="shared" si="2"/>
        <v>0</v>
      </c>
      <c r="S83">
        <f t="shared" si="2"/>
        <v>0</v>
      </c>
      <c r="T83">
        <f t="shared" si="2"/>
        <v>0</v>
      </c>
      <c r="U83">
        <f t="shared" si="2"/>
        <v>0</v>
      </c>
      <c r="V83">
        <f t="shared" si="2"/>
        <v>0</v>
      </c>
      <c r="W83">
        <f t="shared" si="2"/>
        <v>0</v>
      </c>
      <c r="X83">
        <f t="shared" si="2"/>
        <v>0</v>
      </c>
      <c r="Y83">
        <f t="shared" si="2"/>
        <v>0</v>
      </c>
      <c r="Z83">
        <f t="shared" si="2"/>
        <v>0</v>
      </c>
      <c r="AA83">
        <f t="shared" si="2"/>
        <v>0</v>
      </c>
      <c r="AB83">
        <f t="shared" si="2"/>
        <v>0</v>
      </c>
      <c r="AC83">
        <f t="shared" si="2"/>
        <v>0</v>
      </c>
      <c r="AD83">
        <f t="shared" si="2"/>
        <v>0</v>
      </c>
      <c r="AE83">
        <f t="shared" si="2"/>
        <v>0</v>
      </c>
      <c r="AF83">
        <f t="shared" si="2"/>
        <v>0</v>
      </c>
      <c r="AG83">
        <f t="shared" si="2"/>
        <v>0</v>
      </c>
      <c r="AH83">
        <f>SUM(C83:AG83)</f>
        <v>0</v>
      </c>
    </row>
    <row r="84" spans="1:45" hidden="1" x14ac:dyDescent="0.25">
      <c r="C84">
        <f>COUNTIF(C7:C79,"BAKR")</f>
        <v>0</v>
      </c>
      <c r="D84">
        <f t="shared" ref="D84:AG84" si="3">COUNTIF(D7:D79,"BAKR")</f>
        <v>0</v>
      </c>
      <c r="E84">
        <f t="shared" si="3"/>
        <v>0</v>
      </c>
      <c r="F84">
        <f t="shared" si="3"/>
        <v>0</v>
      </c>
      <c r="G84">
        <f t="shared" si="3"/>
        <v>0</v>
      </c>
      <c r="H84">
        <f t="shared" si="3"/>
        <v>0</v>
      </c>
      <c r="I84">
        <f t="shared" si="3"/>
        <v>0</v>
      </c>
      <c r="J84">
        <f t="shared" si="3"/>
        <v>0</v>
      </c>
      <c r="K84">
        <f t="shared" si="3"/>
        <v>0</v>
      </c>
      <c r="L84">
        <f t="shared" si="3"/>
        <v>0</v>
      </c>
      <c r="M84">
        <f t="shared" si="3"/>
        <v>0</v>
      </c>
      <c r="N84">
        <f t="shared" si="3"/>
        <v>0</v>
      </c>
      <c r="O84">
        <f t="shared" si="3"/>
        <v>0</v>
      </c>
      <c r="P84">
        <f t="shared" si="3"/>
        <v>0</v>
      </c>
      <c r="Q84">
        <f t="shared" si="3"/>
        <v>0</v>
      </c>
      <c r="R84">
        <f t="shared" si="3"/>
        <v>0</v>
      </c>
      <c r="S84">
        <f t="shared" si="3"/>
        <v>0</v>
      </c>
      <c r="T84">
        <f t="shared" si="3"/>
        <v>0</v>
      </c>
      <c r="U84">
        <f t="shared" si="3"/>
        <v>0</v>
      </c>
      <c r="V84">
        <f t="shared" si="3"/>
        <v>0</v>
      </c>
      <c r="W84">
        <f t="shared" si="3"/>
        <v>0</v>
      </c>
      <c r="X84">
        <f t="shared" si="3"/>
        <v>0</v>
      </c>
      <c r="Y84">
        <f t="shared" si="3"/>
        <v>0</v>
      </c>
      <c r="Z84">
        <f t="shared" si="3"/>
        <v>0</v>
      </c>
      <c r="AA84">
        <f t="shared" si="3"/>
        <v>0</v>
      </c>
      <c r="AB84">
        <f t="shared" si="3"/>
        <v>0</v>
      </c>
      <c r="AC84">
        <f t="shared" si="3"/>
        <v>0</v>
      </c>
      <c r="AD84">
        <f t="shared" si="3"/>
        <v>0</v>
      </c>
      <c r="AE84">
        <f t="shared" si="3"/>
        <v>0</v>
      </c>
      <c r="AF84">
        <f t="shared" si="3"/>
        <v>0</v>
      </c>
      <c r="AG84">
        <f t="shared" si="3"/>
        <v>0</v>
      </c>
      <c r="AH84">
        <f>SUM(C84:AG84)</f>
        <v>0</v>
      </c>
    </row>
    <row r="85" spans="1:45" x14ac:dyDescent="0.25">
      <c r="A85" s="131">
        <v>26</v>
      </c>
      <c r="B85" s="123" t="s">
        <v>94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 t="s">
        <v>41</v>
      </c>
      <c r="AE85" s="1" t="s">
        <v>41</v>
      </c>
      <c r="AF85" s="1" t="s">
        <v>41</v>
      </c>
      <c r="AG85" s="1"/>
      <c r="AH85" s="134">
        <f>COUNTIF(C85:AG85,"P")</f>
        <v>3</v>
      </c>
      <c r="AI85" s="134">
        <f>COUNTIF(D85:AH85,"P/2")</f>
        <v>0</v>
      </c>
      <c r="AJ85" s="15"/>
      <c r="AK85" s="137">
        <f>COUNTIF(C87:AG87,"BAAS")</f>
        <v>0</v>
      </c>
      <c r="AL85" s="137">
        <f>COUNTIF(D87:AH87,"RCML")</f>
        <v>0</v>
      </c>
      <c r="AM85" s="137">
        <f>COUNTIF(E87:AJ87,"PRE")</f>
        <v>0</v>
      </c>
      <c r="AN85" s="138">
        <f>COUNTIF(F87:AK87,"BAKR")</f>
        <v>0</v>
      </c>
      <c r="AO85" s="139">
        <v>900</v>
      </c>
      <c r="AP85" s="129">
        <f>AO85*AI85/2</f>
        <v>0</v>
      </c>
      <c r="AQ85" s="129">
        <f>AH85*AO85+AP85</f>
        <v>2700</v>
      </c>
      <c r="AR85" s="129">
        <f>AJ86/8*AO85</f>
        <v>450</v>
      </c>
      <c r="AS85" s="130">
        <f>AQ85+AR85</f>
        <v>3150</v>
      </c>
    </row>
    <row r="86" spans="1:45" x14ac:dyDescent="0.25">
      <c r="A86" s="132"/>
      <c r="B86" s="124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>
        <v>2</v>
      </c>
      <c r="AE86" s="9"/>
      <c r="AF86" s="9">
        <v>2</v>
      </c>
      <c r="AG86" s="9"/>
      <c r="AH86" s="135"/>
      <c r="AI86" s="135"/>
      <c r="AJ86" s="15">
        <f>SUM(C86:AG86)</f>
        <v>4</v>
      </c>
      <c r="AK86" s="137"/>
      <c r="AL86" s="137"/>
      <c r="AM86" s="137"/>
      <c r="AN86" s="138"/>
      <c r="AO86" s="140"/>
      <c r="AP86" s="129"/>
      <c r="AQ86" s="129"/>
      <c r="AR86" s="129"/>
      <c r="AS86" s="130"/>
    </row>
    <row r="87" spans="1:45" x14ac:dyDescent="0.25">
      <c r="A87" s="133"/>
      <c r="B87" s="125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36"/>
      <c r="AI87" s="136"/>
      <c r="AJ87" s="15"/>
      <c r="AK87" s="137"/>
      <c r="AL87" s="137"/>
      <c r="AM87" s="137"/>
      <c r="AN87" s="138"/>
      <c r="AO87" s="141"/>
      <c r="AP87" s="129"/>
      <c r="AQ87" s="129"/>
      <c r="AR87" s="129"/>
      <c r="AS87" s="130"/>
    </row>
    <row r="88" spans="1:45" x14ac:dyDescent="0.25">
      <c r="A88" s="131">
        <v>27</v>
      </c>
      <c r="B88" s="123" t="s">
        <v>95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 t="s">
        <v>41</v>
      </c>
      <c r="AE88" s="1" t="s">
        <v>41</v>
      </c>
      <c r="AF88" s="1" t="s">
        <v>41</v>
      </c>
      <c r="AG88" s="1"/>
      <c r="AH88" s="134">
        <f>COUNTIF(C88:AG88,"P")</f>
        <v>3</v>
      </c>
      <c r="AI88" s="134">
        <f>COUNTIF(D88:AH88,"P/2")</f>
        <v>0</v>
      </c>
      <c r="AJ88" s="15"/>
      <c r="AK88" s="137">
        <f>COUNTIF(C90:AG90,"BAAS")</f>
        <v>0</v>
      </c>
      <c r="AL88" s="137">
        <f>COUNTIF(D90:AH90,"RCML")</f>
        <v>0</v>
      </c>
      <c r="AM88" s="137">
        <f>COUNTIF(E90:AJ90,"PRE")</f>
        <v>0</v>
      </c>
      <c r="AN88" s="138">
        <f>COUNTIF(F90:AK90,"BAKR")</f>
        <v>0</v>
      </c>
      <c r="AO88" s="139">
        <v>700</v>
      </c>
      <c r="AP88" s="129">
        <f>AO88*AI88/2</f>
        <v>0</v>
      </c>
      <c r="AQ88" s="129">
        <f>AH88*AO88+AP88</f>
        <v>2100</v>
      </c>
      <c r="AR88" s="129">
        <f>AJ89/8*AO88</f>
        <v>350</v>
      </c>
      <c r="AS88" s="130">
        <f>AQ88+AR88</f>
        <v>2450</v>
      </c>
    </row>
    <row r="89" spans="1:45" x14ac:dyDescent="0.25">
      <c r="A89" s="132"/>
      <c r="B89" s="124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>
        <v>2</v>
      </c>
      <c r="AE89" s="9"/>
      <c r="AF89" s="9">
        <v>2</v>
      </c>
      <c r="AG89" s="9"/>
      <c r="AH89" s="135"/>
      <c r="AI89" s="135"/>
      <c r="AJ89" s="15">
        <f>SUM(C89:AG89)</f>
        <v>4</v>
      </c>
      <c r="AK89" s="137"/>
      <c r="AL89" s="137"/>
      <c r="AM89" s="137"/>
      <c r="AN89" s="138"/>
      <c r="AO89" s="140"/>
      <c r="AP89" s="129"/>
      <c r="AQ89" s="129"/>
      <c r="AR89" s="129"/>
      <c r="AS89" s="130"/>
    </row>
    <row r="90" spans="1:45" x14ac:dyDescent="0.25">
      <c r="A90" s="133"/>
      <c r="B90" s="125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36"/>
      <c r="AI90" s="136"/>
      <c r="AJ90" s="15"/>
      <c r="AK90" s="137"/>
      <c r="AL90" s="137"/>
      <c r="AM90" s="137"/>
      <c r="AN90" s="138"/>
      <c r="AO90" s="141"/>
      <c r="AP90" s="129"/>
      <c r="AQ90" s="129"/>
      <c r="AR90" s="129"/>
      <c r="AS90" s="130"/>
    </row>
    <row r="91" spans="1:45" x14ac:dyDescent="0.25">
      <c r="AH91">
        <v>574</v>
      </c>
      <c r="AI91">
        <f t="shared" ref="AI91:AS91" si="4">SUM(AI5:AI90)</f>
        <v>3</v>
      </c>
      <c r="AJ91" s="17">
        <f t="shared" si="4"/>
        <v>772</v>
      </c>
      <c r="AK91">
        <f t="shared" si="4"/>
        <v>0</v>
      </c>
      <c r="AL91">
        <f t="shared" si="4"/>
        <v>0</v>
      </c>
      <c r="AM91">
        <f t="shared" si="4"/>
        <v>0</v>
      </c>
      <c r="AN91">
        <f t="shared" si="4"/>
        <v>0</v>
      </c>
      <c r="AO91">
        <f t="shared" si="4"/>
        <v>19000</v>
      </c>
      <c r="AP91">
        <f t="shared" si="4"/>
        <v>1050</v>
      </c>
      <c r="AQ91">
        <f t="shared" si="4"/>
        <v>402750</v>
      </c>
      <c r="AR91">
        <f t="shared" si="4"/>
        <v>67512.5</v>
      </c>
      <c r="AS91">
        <f t="shared" si="4"/>
        <v>470262.5</v>
      </c>
    </row>
    <row r="92" spans="1:45" x14ac:dyDescent="0.25">
      <c r="B92" s="26" t="s">
        <v>58</v>
      </c>
      <c r="C92" s="26">
        <v>470262.5</v>
      </c>
      <c r="D92" s="26"/>
    </row>
    <row r="93" spans="1:45" x14ac:dyDescent="0.25">
      <c r="B93" s="26" t="s">
        <v>82</v>
      </c>
      <c r="C93" s="26">
        <v>130000</v>
      </c>
      <c r="D93" s="26"/>
    </row>
    <row r="94" spans="1:45" x14ac:dyDescent="0.25">
      <c r="B94" s="26"/>
      <c r="C94" s="26"/>
      <c r="D94" s="26"/>
    </row>
    <row r="95" spans="1:45" x14ac:dyDescent="0.25">
      <c r="B95" s="28" t="s">
        <v>83</v>
      </c>
      <c r="C95" s="26"/>
      <c r="D95" s="26">
        <v>12000</v>
      </c>
      <c r="AJ95"/>
    </row>
    <row r="96" spans="1:45" x14ac:dyDescent="0.25">
      <c r="B96" s="26"/>
      <c r="C96" s="26">
        <f>C92-C93</f>
        <v>340262.5</v>
      </c>
      <c r="D96" s="26">
        <v>12000</v>
      </c>
      <c r="AJ96"/>
    </row>
    <row r="97" spans="2:36" x14ac:dyDescent="0.25">
      <c r="B97" s="26"/>
      <c r="C97" s="26"/>
      <c r="D97" s="26"/>
      <c r="AJ97"/>
    </row>
    <row r="98" spans="2:36" x14ac:dyDescent="0.25">
      <c r="B98" s="26" t="s">
        <v>84</v>
      </c>
      <c r="C98" s="26">
        <f>C96+D96</f>
        <v>352262.5</v>
      </c>
      <c r="D98" s="26"/>
      <c r="AJ98"/>
    </row>
  </sheetData>
  <mergeCells count="371">
    <mergeCell ref="AP88:AP90"/>
    <mergeCell ref="AQ88:AQ90"/>
    <mergeCell ref="AR88:AR90"/>
    <mergeCell ref="AS88:AS90"/>
    <mergeCell ref="A88:A90"/>
    <mergeCell ref="B88:B90"/>
    <mergeCell ref="AH88:AH90"/>
    <mergeCell ref="AI88:AI90"/>
    <mergeCell ref="AK88:AK90"/>
    <mergeCell ref="AL88:AL90"/>
    <mergeCell ref="AM88:AM90"/>
    <mergeCell ref="AN88:AN90"/>
    <mergeCell ref="AO88:AO90"/>
    <mergeCell ref="AP77:AP79"/>
    <mergeCell ref="AQ77:AQ79"/>
    <mergeCell ref="AR77:AR79"/>
    <mergeCell ref="AS77:AS79"/>
    <mergeCell ref="A85:A87"/>
    <mergeCell ref="B85:B87"/>
    <mergeCell ref="AH85:AH87"/>
    <mergeCell ref="AI85:AI87"/>
    <mergeCell ref="AK85:AK87"/>
    <mergeCell ref="AL85:AL87"/>
    <mergeCell ref="AM85:AM87"/>
    <mergeCell ref="AN85:AN87"/>
    <mergeCell ref="AO85:AO87"/>
    <mergeCell ref="AP85:AP87"/>
    <mergeCell ref="AQ85:AQ87"/>
    <mergeCell ref="AR85:AR87"/>
    <mergeCell ref="AS85:AS87"/>
    <mergeCell ref="A77:A79"/>
    <mergeCell ref="B77:B79"/>
    <mergeCell ref="AH77:AH79"/>
    <mergeCell ref="AI77:AI79"/>
    <mergeCell ref="AK77:AK79"/>
    <mergeCell ref="AL77:AL79"/>
    <mergeCell ref="AM77:AM79"/>
    <mergeCell ref="AN77:AN79"/>
    <mergeCell ref="AO77:AO79"/>
    <mergeCell ref="AP71:AP73"/>
    <mergeCell ref="AQ71:AQ73"/>
    <mergeCell ref="AR71:AR73"/>
    <mergeCell ref="AS71:AS73"/>
    <mergeCell ref="A74:A76"/>
    <mergeCell ref="B74:B76"/>
    <mergeCell ref="AH74:AH76"/>
    <mergeCell ref="AI74:AI76"/>
    <mergeCell ref="AK74:AK76"/>
    <mergeCell ref="AL74:AL76"/>
    <mergeCell ref="AM74:AM76"/>
    <mergeCell ref="AN74:AN76"/>
    <mergeCell ref="AO74:AO76"/>
    <mergeCell ref="AP74:AP76"/>
    <mergeCell ref="AQ74:AQ76"/>
    <mergeCell ref="AR74:AR76"/>
    <mergeCell ref="AS74:AS76"/>
    <mergeCell ref="A71:A73"/>
    <mergeCell ref="B71:B73"/>
    <mergeCell ref="AH71:AH73"/>
    <mergeCell ref="AI71:AI73"/>
    <mergeCell ref="AK71:AK73"/>
    <mergeCell ref="AL71:AL73"/>
    <mergeCell ref="AM71:AM73"/>
    <mergeCell ref="AN71:AN73"/>
    <mergeCell ref="AO71:AO73"/>
    <mergeCell ref="AP65:AP67"/>
    <mergeCell ref="AQ65:AQ67"/>
    <mergeCell ref="AR65:AR67"/>
    <mergeCell ref="AS65:AS67"/>
    <mergeCell ref="A68:A70"/>
    <mergeCell ref="B68:B70"/>
    <mergeCell ref="AH68:AH70"/>
    <mergeCell ref="AI68:AI70"/>
    <mergeCell ref="AK68:AK70"/>
    <mergeCell ref="AL68:AL70"/>
    <mergeCell ref="AM68:AM70"/>
    <mergeCell ref="AN68:AN70"/>
    <mergeCell ref="AO68:AO70"/>
    <mergeCell ref="AP68:AP70"/>
    <mergeCell ref="AQ68:AQ70"/>
    <mergeCell ref="AR68:AR70"/>
    <mergeCell ref="AS68:AS70"/>
    <mergeCell ref="A65:A67"/>
    <mergeCell ref="B65:B67"/>
    <mergeCell ref="AH65:AH67"/>
    <mergeCell ref="AI65:AI67"/>
    <mergeCell ref="AK65:AK67"/>
    <mergeCell ref="AL65:AL67"/>
    <mergeCell ref="AM65:AM67"/>
    <mergeCell ref="AN65:AN67"/>
    <mergeCell ref="AO65:AO67"/>
    <mergeCell ref="AP59:AP61"/>
    <mergeCell ref="AQ59:AQ61"/>
    <mergeCell ref="AR59:AR61"/>
    <mergeCell ref="AS59:AS61"/>
    <mergeCell ref="A62:A64"/>
    <mergeCell ref="B62:B64"/>
    <mergeCell ref="AH62:AH64"/>
    <mergeCell ref="AI62:AI64"/>
    <mergeCell ref="AK62:AK64"/>
    <mergeCell ref="AL62:AL64"/>
    <mergeCell ref="AM62:AM64"/>
    <mergeCell ref="AN62:AN64"/>
    <mergeCell ref="AO62:AO64"/>
    <mergeCell ref="AP62:AP64"/>
    <mergeCell ref="AQ62:AQ64"/>
    <mergeCell ref="AR62:AR64"/>
    <mergeCell ref="AS62:AS64"/>
    <mergeCell ref="A59:A61"/>
    <mergeCell ref="B59:B61"/>
    <mergeCell ref="AH59:AH61"/>
    <mergeCell ref="AI59:AI61"/>
    <mergeCell ref="AK59:AK61"/>
    <mergeCell ref="AL59:AL61"/>
    <mergeCell ref="AM59:AM61"/>
    <mergeCell ref="AN59:AN61"/>
    <mergeCell ref="AO59:AO61"/>
    <mergeCell ref="AN56:AN58"/>
    <mergeCell ref="AO56:AO58"/>
    <mergeCell ref="AP56:AP58"/>
    <mergeCell ref="AQ56:AQ58"/>
    <mergeCell ref="AR56:AR58"/>
    <mergeCell ref="AP53:AP55"/>
    <mergeCell ref="AQ53:AQ55"/>
    <mergeCell ref="AR53:AR55"/>
    <mergeCell ref="AS53:AS55"/>
    <mergeCell ref="A56:A58"/>
    <mergeCell ref="B56:B58"/>
    <mergeCell ref="AH56:AH58"/>
    <mergeCell ref="AI56:AI58"/>
    <mergeCell ref="AK56:AK58"/>
    <mergeCell ref="AL56:AL58"/>
    <mergeCell ref="AS50:AS52"/>
    <mergeCell ref="A53:A55"/>
    <mergeCell ref="B53:B55"/>
    <mergeCell ref="AH53:AH55"/>
    <mergeCell ref="AI53:AI55"/>
    <mergeCell ref="AK53:AK55"/>
    <mergeCell ref="AL53:AL55"/>
    <mergeCell ref="AM53:AM55"/>
    <mergeCell ref="AN53:AN55"/>
    <mergeCell ref="AO53:AO55"/>
    <mergeCell ref="AM50:AM52"/>
    <mergeCell ref="AN50:AN52"/>
    <mergeCell ref="AO50:AO52"/>
    <mergeCell ref="AP50:AP52"/>
    <mergeCell ref="AQ50:AQ52"/>
    <mergeCell ref="AR50:AR52"/>
    <mergeCell ref="AS56:AS58"/>
    <mergeCell ref="AM56:AM58"/>
    <mergeCell ref="A50:A52"/>
    <mergeCell ref="B50:B52"/>
    <mergeCell ref="AH50:AH52"/>
    <mergeCell ref="AI50:AI52"/>
    <mergeCell ref="AK50:AK52"/>
    <mergeCell ref="AL50:AL52"/>
    <mergeCell ref="AP44:AP46"/>
    <mergeCell ref="AQ44:AQ46"/>
    <mergeCell ref="AR44:AR46"/>
    <mergeCell ref="AS44:AS46"/>
    <mergeCell ref="A47:A49"/>
    <mergeCell ref="B47:B49"/>
    <mergeCell ref="AH47:AH49"/>
    <mergeCell ref="AI47:AI49"/>
    <mergeCell ref="AK47:AK49"/>
    <mergeCell ref="AL47:AL49"/>
    <mergeCell ref="AS47:AS49"/>
    <mergeCell ref="AM47:AM49"/>
    <mergeCell ref="AN47:AN49"/>
    <mergeCell ref="AO47:AO49"/>
    <mergeCell ref="AP47:AP49"/>
    <mergeCell ref="AQ47:AQ49"/>
    <mergeCell ref="AR47:AR49"/>
    <mergeCell ref="A44:A46"/>
    <mergeCell ref="B44:B46"/>
    <mergeCell ref="AH44:AH46"/>
    <mergeCell ref="AI44:AI46"/>
    <mergeCell ref="AK44:AK46"/>
    <mergeCell ref="AL44:AL46"/>
    <mergeCell ref="AM44:AM46"/>
    <mergeCell ref="AN44:AN46"/>
    <mergeCell ref="AO44:AO46"/>
    <mergeCell ref="AL35:AL37"/>
    <mergeCell ref="AM35:AM37"/>
    <mergeCell ref="AP41:AP43"/>
    <mergeCell ref="AQ41:AQ43"/>
    <mergeCell ref="AR41:AR43"/>
    <mergeCell ref="AS41:AS43"/>
    <mergeCell ref="A41:A43"/>
    <mergeCell ref="B41:B43"/>
    <mergeCell ref="AH41:AH43"/>
    <mergeCell ref="AI41:AI43"/>
    <mergeCell ref="AK41:AK43"/>
    <mergeCell ref="AL41:AL43"/>
    <mergeCell ref="AM41:AM43"/>
    <mergeCell ref="AN41:AN43"/>
    <mergeCell ref="AO41:AO43"/>
    <mergeCell ref="A38:A40"/>
    <mergeCell ref="B38:B40"/>
    <mergeCell ref="AH38:AH40"/>
    <mergeCell ref="AI38:AI40"/>
    <mergeCell ref="AK38:AK40"/>
    <mergeCell ref="AL38:AL40"/>
    <mergeCell ref="AS38:AS40"/>
    <mergeCell ref="AM38:AM40"/>
    <mergeCell ref="AN38:AN40"/>
    <mergeCell ref="AO38:AO40"/>
    <mergeCell ref="AP38:AP40"/>
    <mergeCell ref="AQ38:AQ40"/>
    <mergeCell ref="AR38:AR40"/>
    <mergeCell ref="AN35:AN37"/>
    <mergeCell ref="AO35:AO37"/>
    <mergeCell ref="AP32:AP34"/>
    <mergeCell ref="AQ32:AQ34"/>
    <mergeCell ref="AR32:AR34"/>
    <mergeCell ref="AP35:AP37"/>
    <mergeCell ref="AQ35:AQ37"/>
    <mergeCell ref="AR35:AR37"/>
    <mergeCell ref="AS32:AS34"/>
    <mergeCell ref="A32:A34"/>
    <mergeCell ref="B32:B34"/>
    <mergeCell ref="AH32:AH34"/>
    <mergeCell ref="AI32:AI34"/>
    <mergeCell ref="AK32:AK34"/>
    <mergeCell ref="AL32:AL34"/>
    <mergeCell ref="AM32:AM34"/>
    <mergeCell ref="AN32:AN34"/>
    <mergeCell ref="AO32:AO34"/>
    <mergeCell ref="AS35:AS37"/>
    <mergeCell ref="A35:A37"/>
    <mergeCell ref="B35:B37"/>
    <mergeCell ref="AH35:AH37"/>
    <mergeCell ref="AI35:AI37"/>
    <mergeCell ref="AK35:AK37"/>
    <mergeCell ref="AP26:AP28"/>
    <mergeCell ref="AQ26:AQ28"/>
    <mergeCell ref="AR26:AR28"/>
    <mergeCell ref="AS26:AS28"/>
    <mergeCell ref="A29:A31"/>
    <mergeCell ref="B29:B31"/>
    <mergeCell ref="AH29:AH31"/>
    <mergeCell ref="AI29:AI31"/>
    <mergeCell ref="AK29:AK31"/>
    <mergeCell ref="AL29:AL31"/>
    <mergeCell ref="AS29:AS31"/>
    <mergeCell ref="AM29:AM31"/>
    <mergeCell ref="AN29:AN31"/>
    <mergeCell ref="AO29:AO31"/>
    <mergeCell ref="AP29:AP31"/>
    <mergeCell ref="AQ29:AQ31"/>
    <mergeCell ref="AR29:AR31"/>
    <mergeCell ref="A26:A28"/>
    <mergeCell ref="B26:B28"/>
    <mergeCell ref="AH26:AH28"/>
    <mergeCell ref="AI26:AI28"/>
    <mergeCell ref="AK26:AK28"/>
    <mergeCell ref="AL26:AL28"/>
    <mergeCell ref="AM26:AM28"/>
    <mergeCell ref="AN26:AN28"/>
    <mergeCell ref="AO26:AO28"/>
    <mergeCell ref="AP20:AP22"/>
    <mergeCell ref="AO20:AO22"/>
    <mergeCell ref="AQ20:AQ22"/>
    <mergeCell ref="AR20:AR22"/>
    <mergeCell ref="AS20:AS22"/>
    <mergeCell ref="A23:A25"/>
    <mergeCell ref="B23:B25"/>
    <mergeCell ref="AH23:AH25"/>
    <mergeCell ref="AI23:AI25"/>
    <mergeCell ref="AK23:AK25"/>
    <mergeCell ref="AL23:AL25"/>
    <mergeCell ref="AS23:AS25"/>
    <mergeCell ref="AM23:AM25"/>
    <mergeCell ref="AN23:AN25"/>
    <mergeCell ref="AO23:AO25"/>
    <mergeCell ref="AP23:AP25"/>
    <mergeCell ref="AQ23:AQ25"/>
    <mergeCell ref="AR23:AR25"/>
    <mergeCell ref="A20:A22"/>
    <mergeCell ref="B20:B22"/>
    <mergeCell ref="AH20:AH22"/>
    <mergeCell ref="AI20:AI22"/>
    <mergeCell ref="AK20:AK22"/>
    <mergeCell ref="AL20:AL22"/>
    <mergeCell ref="AM20:AM22"/>
    <mergeCell ref="AN20:AN22"/>
    <mergeCell ref="A17:A19"/>
    <mergeCell ref="B17:B19"/>
    <mergeCell ref="AH17:AH19"/>
    <mergeCell ref="AI17:AI19"/>
    <mergeCell ref="AK17:AK19"/>
    <mergeCell ref="AL17:AL19"/>
    <mergeCell ref="AS17:AS19"/>
    <mergeCell ref="AM17:AM19"/>
    <mergeCell ref="AN17:AN19"/>
    <mergeCell ref="AO17:AO19"/>
    <mergeCell ref="AP17:AP19"/>
    <mergeCell ref="AQ17:AQ19"/>
    <mergeCell ref="AR17:AR19"/>
    <mergeCell ref="AS11:AS13"/>
    <mergeCell ref="A14:A16"/>
    <mergeCell ref="B14:B16"/>
    <mergeCell ref="AH14:AH16"/>
    <mergeCell ref="AI14:AI16"/>
    <mergeCell ref="AK14:AK16"/>
    <mergeCell ref="AL14:AL16"/>
    <mergeCell ref="AM14:AM16"/>
    <mergeCell ref="AN14:AN16"/>
    <mergeCell ref="AO14:AO16"/>
    <mergeCell ref="AM11:AM13"/>
    <mergeCell ref="AN11:AN13"/>
    <mergeCell ref="AO11:AO13"/>
    <mergeCell ref="AP11:AP13"/>
    <mergeCell ref="AQ11:AQ13"/>
    <mergeCell ref="AR11:AR13"/>
    <mergeCell ref="AP14:AP16"/>
    <mergeCell ref="AQ14:AQ16"/>
    <mergeCell ref="AR14:AR16"/>
    <mergeCell ref="AS14:AS16"/>
    <mergeCell ref="A11:A13"/>
    <mergeCell ref="B11:B13"/>
    <mergeCell ref="AH11:AH13"/>
    <mergeCell ref="AI11:AI13"/>
    <mergeCell ref="AK11:AK13"/>
    <mergeCell ref="A8:A10"/>
    <mergeCell ref="B8:B10"/>
    <mergeCell ref="AH8:AH10"/>
    <mergeCell ref="AI8:AI10"/>
    <mergeCell ref="AK8:AK10"/>
    <mergeCell ref="AP5:AP7"/>
    <mergeCell ref="AQ5:AQ7"/>
    <mergeCell ref="AL11:AL13"/>
    <mergeCell ref="AP8:AP10"/>
    <mergeCell ref="AQ8:AQ10"/>
    <mergeCell ref="AR8:AR10"/>
    <mergeCell ref="AS8:AS10"/>
    <mergeCell ref="AS5:AS7"/>
    <mergeCell ref="A5:A7"/>
    <mergeCell ref="B5:B7"/>
    <mergeCell ref="AH5:AH7"/>
    <mergeCell ref="AI5:AI7"/>
    <mergeCell ref="AL8:AL10"/>
    <mergeCell ref="AM8:AM10"/>
    <mergeCell ref="AN8:AN10"/>
    <mergeCell ref="AO8:AO10"/>
    <mergeCell ref="AK5:AK7"/>
    <mergeCell ref="AL5:AL7"/>
    <mergeCell ref="AJ3:AJ4"/>
    <mergeCell ref="AK3:AK4"/>
    <mergeCell ref="AL3:AL4"/>
    <mergeCell ref="AM5:AM7"/>
    <mergeCell ref="AN5:AN7"/>
    <mergeCell ref="AO5:AO7"/>
    <mergeCell ref="A1:AJ1"/>
    <mergeCell ref="AK1:AS1"/>
    <mergeCell ref="A2:AJ2"/>
    <mergeCell ref="AK2:AN2"/>
    <mergeCell ref="AO2:AS2"/>
    <mergeCell ref="A3:A4"/>
    <mergeCell ref="B3:B4"/>
    <mergeCell ref="C3:AG3"/>
    <mergeCell ref="AH3:AH4"/>
    <mergeCell ref="AI3:AI4"/>
    <mergeCell ref="AP3:AP4"/>
    <mergeCell ref="AQ3:AQ4"/>
    <mergeCell ref="AR3:AR4"/>
    <mergeCell ref="AS3:AS4"/>
    <mergeCell ref="AM3:AM4"/>
    <mergeCell ref="AN3:AN4"/>
    <mergeCell ref="AO3:AO4"/>
    <mergeCell ref="AR5:AR7"/>
  </mergeCells>
  <conditionalFormatting sqref="G5">
    <cfRule type="containsText" dxfId="1230" priority="46" operator="containsText" text="P">
      <formula>NOT(ISERROR(SEARCH("P",G5)))</formula>
    </cfRule>
    <cfRule type="containsText" dxfId="1229" priority="54" operator="containsText" text="A">
      <formula>NOT(ISERROR(SEARCH("A",G5)))</formula>
    </cfRule>
    <cfRule type="containsText" dxfId="1228" priority="55" operator="containsText" text="P">
      <formula>NOT(ISERROR(SEARCH("P",G5)))</formula>
    </cfRule>
  </conditionalFormatting>
  <conditionalFormatting sqref="C5:AG49">
    <cfRule type="containsText" dxfId="1227" priority="53" operator="containsText" text="AB">
      <formula>NOT(ISERROR(SEARCH("AB",C5)))</formula>
    </cfRule>
  </conditionalFormatting>
  <conditionalFormatting sqref="C56:AG58">
    <cfRule type="containsText" dxfId="1226" priority="49" operator="containsText" text="AB">
      <formula>NOT(ISERROR(SEARCH("AB",C56)))</formula>
    </cfRule>
  </conditionalFormatting>
  <conditionalFormatting sqref="C50:AG52">
    <cfRule type="containsText" dxfId="1225" priority="51" operator="containsText" text="AB">
      <formula>NOT(ISERROR(SEARCH("AB",C50)))</formula>
    </cfRule>
  </conditionalFormatting>
  <conditionalFormatting sqref="C53:AG55">
    <cfRule type="containsText" dxfId="1224" priority="50" operator="containsText" text="AB">
      <formula>NOT(ISERROR(SEARCH("AB",C53)))</formula>
    </cfRule>
  </conditionalFormatting>
  <conditionalFormatting sqref="B8 B11 B14 B17 B20 B23 B26 B29 B32 B35 B38 B41 B44 B47 B50 B53 B56 A80:XFD84 A1:XFD5 A6:A58 C6:XFD58 A91:XFD1048576">
    <cfRule type="containsText" dxfId="1223" priority="47" operator="containsText" text="AB">
      <formula>NOT(ISERROR(SEARCH("AB",A1)))</formula>
    </cfRule>
    <cfRule type="containsText" dxfId="1222" priority="48" operator="containsText" text="AB">
      <formula>NOT(ISERROR(SEARCH("AB",A1)))</formula>
    </cfRule>
  </conditionalFormatting>
  <conditionalFormatting sqref="C59:AG61">
    <cfRule type="containsText" dxfId="1221" priority="45" operator="containsText" text="AB">
      <formula>NOT(ISERROR(SEARCH("AB",C59)))</formula>
    </cfRule>
  </conditionalFormatting>
  <conditionalFormatting sqref="B59 A59:A61 C59:XFD61">
    <cfRule type="containsText" dxfId="1220" priority="43" operator="containsText" text="AB">
      <formula>NOT(ISERROR(SEARCH("AB",A59)))</formula>
    </cfRule>
    <cfRule type="containsText" dxfId="1219" priority="44" operator="containsText" text="AB">
      <formula>NOT(ISERROR(SEARCH("AB",A59)))</formula>
    </cfRule>
  </conditionalFormatting>
  <conditionalFormatting sqref="AG62:AG64">
    <cfRule type="containsText" dxfId="1218" priority="42" operator="containsText" text="AB">
      <formula>NOT(ISERROR(SEARCH("AB",AG62)))</formula>
    </cfRule>
  </conditionalFormatting>
  <conditionalFormatting sqref="B62 A62:A64 AG62:XFD64">
    <cfRule type="containsText" dxfId="1217" priority="40" operator="containsText" text="AB">
      <formula>NOT(ISERROR(SEARCH("AB",A62)))</formula>
    </cfRule>
    <cfRule type="containsText" dxfId="1216" priority="41" operator="containsText" text="AB">
      <formula>NOT(ISERROR(SEARCH("AB",A62)))</formula>
    </cfRule>
  </conditionalFormatting>
  <conditionalFormatting sqref="C77:AG79">
    <cfRule type="containsText" dxfId="1215" priority="21" operator="containsText" text="AB">
      <formula>NOT(ISERROR(SEARCH("AB",C77)))</formula>
    </cfRule>
  </conditionalFormatting>
  <conditionalFormatting sqref="B77 A77:A79 C77:XFD79">
    <cfRule type="containsText" dxfId="1214" priority="19" operator="containsText" text="AB">
      <formula>NOT(ISERROR(SEARCH("AB",A77)))</formula>
    </cfRule>
    <cfRule type="containsText" dxfId="1213" priority="20" operator="containsText" text="AB">
      <formula>NOT(ISERROR(SEARCH("AB",A77)))</formula>
    </cfRule>
  </conditionalFormatting>
  <conditionalFormatting sqref="B65 A65:A67 AH65:XFD67">
    <cfRule type="containsText" dxfId="1212" priority="31" operator="containsText" text="AB">
      <formula>NOT(ISERROR(SEARCH("AB",A65)))</formula>
    </cfRule>
    <cfRule type="containsText" dxfId="1211" priority="32" operator="containsText" text="AB">
      <formula>NOT(ISERROR(SEARCH("AB",A65)))</formula>
    </cfRule>
  </conditionalFormatting>
  <conditionalFormatting sqref="C68:AG70">
    <cfRule type="containsText" dxfId="1210" priority="30" operator="containsText" text="AB">
      <formula>NOT(ISERROR(SEARCH("AB",C68)))</formula>
    </cfRule>
  </conditionalFormatting>
  <conditionalFormatting sqref="B68 A68:A70 C68:XFD70">
    <cfRule type="containsText" dxfId="1209" priority="28" operator="containsText" text="AB">
      <formula>NOT(ISERROR(SEARCH("AB",A68)))</formula>
    </cfRule>
    <cfRule type="containsText" dxfId="1208" priority="29" operator="containsText" text="AB">
      <formula>NOT(ISERROR(SEARCH("AB",A68)))</formula>
    </cfRule>
  </conditionalFormatting>
  <conditionalFormatting sqref="C71:AG73">
    <cfRule type="containsText" dxfId="1207" priority="27" operator="containsText" text="AB">
      <formula>NOT(ISERROR(SEARCH("AB",C71)))</formula>
    </cfRule>
  </conditionalFormatting>
  <conditionalFormatting sqref="B71 A71:A73 C71:XFD73">
    <cfRule type="containsText" dxfId="1206" priority="25" operator="containsText" text="AB">
      <formula>NOT(ISERROR(SEARCH("AB",A71)))</formula>
    </cfRule>
    <cfRule type="containsText" dxfId="1205" priority="26" operator="containsText" text="AB">
      <formula>NOT(ISERROR(SEARCH("AB",A71)))</formula>
    </cfRule>
  </conditionalFormatting>
  <conditionalFormatting sqref="AG74:AG76">
    <cfRule type="containsText" dxfId="1204" priority="24" operator="containsText" text="AB">
      <formula>NOT(ISERROR(SEARCH("AB",AG74)))</formula>
    </cfRule>
  </conditionalFormatting>
  <conditionalFormatting sqref="B74 A74:A76 AG74:XFD76">
    <cfRule type="containsText" dxfId="1203" priority="22" operator="containsText" text="AB">
      <formula>NOT(ISERROR(SEARCH("AB",A74)))</formula>
    </cfRule>
    <cfRule type="containsText" dxfId="1202" priority="23" operator="containsText" text="AB">
      <formula>NOT(ISERROR(SEARCH("AB",A74)))</formula>
    </cfRule>
  </conditionalFormatting>
  <conditionalFormatting sqref="C85:AG87">
    <cfRule type="containsText" dxfId="1201" priority="18" operator="containsText" text="AB">
      <formula>NOT(ISERROR(SEARCH("AB",C85)))</formula>
    </cfRule>
  </conditionalFormatting>
  <conditionalFormatting sqref="B85 A85:A87 C85:XFD87">
    <cfRule type="containsText" dxfId="1200" priority="16" operator="containsText" text="AB">
      <formula>NOT(ISERROR(SEARCH("AB",A85)))</formula>
    </cfRule>
    <cfRule type="containsText" dxfId="1199" priority="17" operator="containsText" text="AB">
      <formula>NOT(ISERROR(SEARCH("AB",A85)))</formula>
    </cfRule>
  </conditionalFormatting>
  <conditionalFormatting sqref="C88:AG90">
    <cfRule type="containsText" dxfId="1198" priority="15" operator="containsText" text="AB">
      <formula>NOT(ISERROR(SEARCH("AB",C88)))</formula>
    </cfRule>
  </conditionalFormatting>
  <conditionalFormatting sqref="B88 A88:A90 C88:XFD90">
    <cfRule type="containsText" dxfId="1197" priority="13" operator="containsText" text="AB">
      <formula>NOT(ISERROR(SEARCH("AB",A88)))</formula>
    </cfRule>
    <cfRule type="containsText" dxfId="1196" priority="14" operator="containsText" text="AB">
      <formula>NOT(ISERROR(SEARCH("AB",A88)))</formula>
    </cfRule>
  </conditionalFormatting>
  <conditionalFormatting sqref="C62:AF64">
    <cfRule type="containsText" dxfId="1195" priority="12" operator="containsText" text="AB">
      <formula>NOT(ISERROR(SEARCH("AB",C62)))</formula>
    </cfRule>
  </conditionalFormatting>
  <conditionalFormatting sqref="C62:AF64">
    <cfRule type="containsText" dxfId="1194" priority="10" operator="containsText" text="AB">
      <formula>NOT(ISERROR(SEARCH("AB",C62)))</formula>
    </cfRule>
    <cfRule type="containsText" dxfId="1193" priority="11" operator="containsText" text="AB">
      <formula>NOT(ISERROR(SEARCH("AB",C62)))</formula>
    </cfRule>
  </conditionalFormatting>
  <conditionalFormatting sqref="AG65:AG67">
    <cfRule type="containsText" dxfId="1192" priority="9" operator="containsText" text="AB">
      <formula>NOT(ISERROR(SEARCH("AB",AG65)))</formula>
    </cfRule>
  </conditionalFormatting>
  <conditionalFormatting sqref="AG65:AG67">
    <cfRule type="containsText" dxfId="1191" priority="7" operator="containsText" text="AB">
      <formula>NOT(ISERROR(SEARCH("AB",AG65)))</formula>
    </cfRule>
    <cfRule type="containsText" dxfId="1190" priority="8" operator="containsText" text="AB">
      <formula>NOT(ISERROR(SEARCH("AB",AG65)))</formula>
    </cfRule>
  </conditionalFormatting>
  <conditionalFormatting sqref="C65:AF67">
    <cfRule type="containsText" dxfId="1189" priority="6" operator="containsText" text="AB">
      <formula>NOT(ISERROR(SEARCH("AB",C65)))</formula>
    </cfRule>
  </conditionalFormatting>
  <conditionalFormatting sqref="C65:AF67">
    <cfRule type="containsText" dxfId="1188" priority="4" operator="containsText" text="AB">
      <formula>NOT(ISERROR(SEARCH("AB",C65)))</formula>
    </cfRule>
    <cfRule type="containsText" dxfId="1187" priority="5" operator="containsText" text="AB">
      <formula>NOT(ISERROR(SEARCH("AB",C65)))</formula>
    </cfRule>
  </conditionalFormatting>
  <conditionalFormatting sqref="C74:AF76">
    <cfRule type="containsText" dxfId="1186" priority="3" operator="containsText" text="AB">
      <formula>NOT(ISERROR(SEARCH("AB",C74)))</formula>
    </cfRule>
  </conditionalFormatting>
  <conditionalFormatting sqref="C74:AF76">
    <cfRule type="containsText" dxfId="1185" priority="1" operator="containsText" text="AB">
      <formula>NOT(ISERROR(SEARCH("AB",C74)))</formula>
    </cfRule>
    <cfRule type="containsText" dxfId="1184" priority="2" operator="containsText" text="AB">
      <formula>NOT(ISERROR(SEARCH("AB",C74)))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2075-7254-4078-9C1A-0BFA898FEFF5}">
  <dimension ref="A1:AV98"/>
  <sheetViews>
    <sheetView zoomScale="70" zoomScaleNormal="7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O8" sqref="AO8:AO10"/>
    </sheetView>
  </sheetViews>
  <sheetFormatPr defaultRowHeight="15" x14ac:dyDescent="0.25"/>
  <cols>
    <col min="1" max="1" width="6.28515625" customWidth="1"/>
    <col min="2" max="2" width="24.140625" style="32" customWidth="1"/>
    <col min="3" max="3" width="9" bestFit="1" customWidth="1"/>
    <col min="4" max="4" width="8" customWidth="1"/>
    <col min="5" max="33" width="4.85546875" customWidth="1"/>
    <col min="34" max="34" width="10" customWidth="1"/>
    <col min="35" max="35" width="9.7109375" customWidth="1"/>
    <col min="36" max="36" width="6.140625" style="17" customWidth="1"/>
    <col min="37" max="37" width="7.5703125" hidden="1" customWidth="1"/>
    <col min="38" max="38" width="6.28515625" hidden="1" customWidth="1"/>
    <col min="39" max="39" width="7.28515625" hidden="1" customWidth="1"/>
    <col min="40" max="40" width="6.7109375" hidden="1" customWidth="1"/>
    <col min="41" max="41" width="8.140625" customWidth="1"/>
    <col min="42" max="42" width="8.5703125" customWidth="1"/>
    <col min="43" max="43" width="8.85546875" style="50"/>
    <col min="44" max="44" width="8.140625" style="50" customWidth="1"/>
    <col min="45" max="45" width="12.7109375" bestFit="1" customWidth="1"/>
  </cols>
  <sheetData>
    <row r="1" spans="1:48" ht="28.5" x14ac:dyDescent="0.25">
      <c r="A1" s="142" t="s">
        <v>40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4"/>
      <c r="AK1" s="39"/>
      <c r="AL1" s="40"/>
      <c r="AM1" s="40"/>
      <c r="AN1" s="40"/>
      <c r="AO1" s="40"/>
      <c r="AP1" s="40"/>
      <c r="AQ1" s="48"/>
      <c r="AR1" s="48"/>
      <c r="AS1" s="41"/>
    </row>
    <row r="2" spans="1:48" ht="21.75" x14ac:dyDescent="0.25">
      <c r="A2" s="148" t="s">
        <v>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50"/>
      <c r="AK2" s="42" t="s">
        <v>47</v>
      </c>
      <c r="AL2" s="42"/>
      <c r="AM2" s="42"/>
      <c r="AN2" s="42"/>
      <c r="AO2" s="42" t="s">
        <v>48</v>
      </c>
      <c r="AP2" s="42"/>
      <c r="AQ2" s="49"/>
      <c r="AR2" s="49"/>
      <c r="AS2" s="43"/>
    </row>
    <row r="3" spans="1:48" ht="27" customHeight="1" x14ac:dyDescent="0.25">
      <c r="A3" s="153" t="s">
        <v>2</v>
      </c>
      <c r="B3" s="174" t="s">
        <v>1</v>
      </c>
      <c r="C3" s="155" t="s">
        <v>96</v>
      </c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6" t="s">
        <v>53</v>
      </c>
      <c r="AI3" s="157" t="s">
        <v>54</v>
      </c>
      <c r="AJ3" s="157" t="s">
        <v>0</v>
      </c>
      <c r="AK3" s="157" t="s">
        <v>42</v>
      </c>
      <c r="AL3" s="157" t="s">
        <v>43</v>
      </c>
      <c r="AM3" s="157" t="s">
        <v>44</v>
      </c>
      <c r="AN3" s="157" t="s">
        <v>45</v>
      </c>
      <c r="AO3" s="157" t="s">
        <v>46</v>
      </c>
      <c r="AP3" s="157" t="s">
        <v>55</v>
      </c>
      <c r="AQ3" s="37" t="s">
        <v>59</v>
      </c>
      <c r="AR3" s="37" t="s">
        <v>57</v>
      </c>
      <c r="AS3" s="44" t="s">
        <v>58</v>
      </c>
    </row>
    <row r="4" spans="1:48" ht="27" customHeight="1" x14ac:dyDescent="0.25">
      <c r="A4" s="153"/>
      <c r="B4" s="175"/>
      <c r="C4" s="31">
        <v>1</v>
      </c>
      <c r="D4" s="31">
        <v>2</v>
      </c>
      <c r="E4" s="31">
        <v>3</v>
      </c>
      <c r="F4" s="31">
        <v>4</v>
      </c>
      <c r="G4" s="31">
        <v>5</v>
      </c>
      <c r="H4" s="31">
        <v>6</v>
      </c>
      <c r="I4" s="31">
        <v>7</v>
      </c>
      <c r="J4" s="31">
        <v>8</v>
      </c>
      <c r="K4" s="31">
        <v>9</v>
      </c>
      <c r="L4" s="31">
        <v>10</v>
      </c>
      <c r="M4" s="31">
        <v>11</v>
      </c>
      <c r="N4" s="31">
        <v>12</v>
      </c>
      <c r="O4" s="31">
        <v>13</v>
      </c>
      <c r="P4" s="31">
        <v>14</v>
      </c>
      <c r="Q4" s="31">
        <v>15</v>
      </c>
      <c r="R4" s="31">
        <v>16</v>
      </c>
      <c r="S4" s="31">
        <v>17</v>
      </c>
      <c r="T4" s="31">
        <v>18</v>
      </c>
      <c r="U4" s="31">
        <v>19</v>
      </c>
      <c r="V4" s="31">
        <v>20</v>
      </c>
      <c r="W4" s="31">
        <v>21</v>
      </c>
      <c r="X4" s="31">
        <v>22</v>
      </c>
      <c r="Y4" s="31">
        <v>23</v>
      </c>
      <c r="Z4" s="31">
        <v>24</v>
      </c>
      <c r="AA4" s="31">
        <v>25</v>
      </c>
      <c r="AB4" s="31">
        <v>26</v>
      </c>
      <c r="AC4" s="31">
        <v>27</v>
      </c>
      <c r="AD4" s="31">
        <v>28</v>
      </c>
      <c r="AE4" s="31">
        <v>29</v>
      </c>
      <c r="AF4" s="31">
        <v>30</v>
      </c>
      <c r="AG4" s="31">
        <v>31</v>
      </c>
      <c r="AH4" s="156"/>
      <c r="AI4" s="158"/>
      <c r="AJ4" s="158"/>
      <c r="AK4" s="158"/>
      <c r="AL4" s="158"/>
      <c r="AM4" s="158"/>
      <c r="AN4" s="158"/>
      <c r="AO4" s="158"/>
      <c r="AP4" s="158"/>
      <c r="AQ4" s="38"/>
      <c r="AR4" s="38"/>
      <c r="AS4" s="45"/>
    </row>
    <row r="5" spans="1:48" x14ac:dyDescent="0.25">
      <c r="A5" s="131">
        <v>1</v>
      </c>
      <c r="B5" s="176" t="s">
        <v>61</v>
      </c>
      <c r="C5" s="1" t="s">
        <v>41</v>
      </c>
      <c r="D5" s="1" t="s">
        <v>41</v>
      </c>
      <c r="E5" s="1" t="s">
        <v>41</v>
      </c>
      <c r="F5" s="1" t="s">
        <v>41</v>
      </c>
      <c r="G5" s="1" t="s">
        <v>41</v>
      </c>
      <c r="H5" s="1" t="s">
        <v>41</v>
      </c>
      <c r="I5" s="1" t="s">
        <v>41</v>
      </c>
      <c r="J5" s="1" t="s">
        <v>41</v>
      </c>
      <c r="K5" s="1" t="s">
        <v>41</v>
      </c>
      <c r="L5" s="1" t="s">
        <v>41</v>
      </c>
      <c r="M5" s="1" t="s">
        <v>41</v>
      </c>
      <c r="N5" s="1" t="s">
        <v>41</v>
      </c>
      <c r="O5" s="1" t="s">
        <v>41</v>
      </c>
      <c r="P5" s="1" t="s">
        <v>41</v>
      </c>
      <c r="Q5" s="1" t="s">
        <v>52</v>
      </c>
      <c r="R5" s="1" t="s">
        <v>41</v>
      </c>
      <c r="S5" s="1" t="s">
        <v>41</v>
      </c>
      <c r="T5" s="1" t="s">
        <v>52</v>
      </c>
      <c r="U5" s="1" t="s">
        <v>41</v>
      </c>
      <c r="V5" s="1" t="s">
        <v>41</v>
      </c>
      <c r="W5" s="1" t="s">
        <v>41</v>
      </c>
      <c r="X5" s="1" t="s">
        <v>41</v>
      </c>
      <c r="Y5" s="1" t="s">
        <v>41</v>
      </c>
      <c r="Z5" s="1" t="s">
        <v>41</v>
      </c>
      <c r="AA5" s="1" t="s">
        <v>41</v>
      </c>
      <c r="AB5" s="1" t="s">
        <v>41</v>
      </c>
      <c r="AC5" s="1" t="s">
        <v>41</v>
      </c>
      <c r="AD5" s="1" t="s">
        <v>41</v>
      </c>
      <c r="AE5" s="1" t="s">
        <v>41</v>
      </c>
      <c r="AF5" s="1" t="s">
        <v>41</v>
      </c>
      <c r="AG5" s="1" t="s">
        <v>52</v>
      </c>
      <c r="AH5" s="134">
        <f>COUNTIF(C5:AG5,"P")</f>
        <v>28</v>
      </c>
      <c r="AI5" s="134">
        <f>COUNTIF(D5:AH5,"P/2")</f>
        <v>0</v>
      </c>
      <c r="AJ5" s="179">
        <f>SUM(C6:AG6)</f>
        <v>72</v>
      </c>
      <c r="AK5" s="171">
        <f>COUNTIF(C7:AG7,"BAAS")</f>
        <v>0</v>
      </c>
      <c r="AL5" s="171">
        <f>COUNTIF(D7:AH7,"BAAS")</f>
        <v>0</v>
      </c>
      <c r="AM5" s="171">
        <f>COUNTIF(E7:AI7,"BAAS")</f>
        <v>0</v>
      </c>
      <c r="AN5" s="171">
        <f>COUNTIF(F7:AJ7,"BAAS")</f>
        <v>0</v>
      </c>
      <c r="AO5" s="171">
        <v>900</v>
      </c>
      <c r="AP5" s="139">
        <f>AO5*AI5/2</f>
        <v>0</v>
      </c>
      <c r="AQ5" s="171">
        <f>AH5*AO5+AP5</f>
        <v>25200</v>
      </c>
      <c r="AR5" s="168">
        <f>AJ5/8*AO5</f>
        <v>8100</v>
      </c>
      <c r="AS5" s="165">
        <f>AQ5+AR5</f>
        <v>33300</v>
      </c>
    </row>
    <row r="6" spans="1:48" x14ac:dyDescent="0.25">
      <c r="A6" s="132"/>
      <c r="B6" s="177"/>
      <c r="C6" s="13">
        <v>2</v>
      </c>
      <c r="D6" s="13">
        <v>1</v>
      </c>
      <c r="E6" s="13"/>
      <c r="F6" s="13">
        <v>3</v>
      </c>
      <c r="G6" s="13">
        <v>3</v>
      </c>
      <c r="H6" s="13">
        <v>1</v>
      </c>
      <c r="I6" s="13">
        <v>4</v>
      </c>
      <c r="J6" s="13">
        <v>5</v>
      </c>
      <c r="K6" s="13">
        <v>6</v>
      </c>
      <c r="L6" s="13">
        <v>5</v>
      </c>
      <c r="M6" s="13">
        <v>2</v>
      </c>
      <c r="N6" s="13">
        <v>3</v>
      </c>
      <c r="O6" s="13">
        <v>1</v>
      </c>
      <c r="P6" s="13">
        <v>3</v>
      </c>
      <c r="Q6" s="13"/>
      <c r="R6" s="13">
        <v>2</v>
      </c>
      <c r="S6" s="13"/>
      <c r="T6" s="13"/>
      <c r="U6" s="13"/>
      <c r="V6" s="13"/>
      <c r="W6" s="13">
        <v>3</v>
      </c>
      <c r="X6" s="13">
        <v>4</v>
      </c>
      <c r="Y6" s="13">
        <v>3</v>
      </c>
      <c r="Z6" s="13">
        <v>4</v>
      </c>
      <c r="AA6" s="13">
        <v>3</v>
      </c>
      <c r="AB6" s="13">
        <v>5</v>
      </c>
      <c r="AC6" s="13">
        <v>5</v>
      </c>
      <c r="AD6" s="13">
        <v>4</v>
      </c>
      <c r="AE6" s="13"/>
      <c r="AF6" s="13"/>
      <c r="AG6" s="13"/>
      <c r="AH6" s="135"/>
      <c r="AI6" s="135"/>
      <c r="AJ6" s="180"/>
      <c r="AK6" s="172"/>
      <c r="AL6" s="172"/>
      <c r="AM6" s="172"/>
      <c r="AN6" s="172"/>
      <c r="AO6" s="172"/>
      <c r="AP6" s="140"/>
      <c r="AQ6" s="172"/>
      <c r="AR6" s="169"/>
      <c r="AS6" s="166"/>
    </row>
    <row r="7" spans="1:48" x14ac:dyDescent="0.25">
      <c r="A7" s="133"/>
      <c r="B7" s="178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36"/>
      <c r="AI7" s="136"/>
      <c r="AJ7" s="181"/>
      <c r="AK7" s="173"/>
      <c r="AL7" s="173"/>
      <c r="AM7" s="173"/>
      <c r="AN7" s="173"/>
      <c r="AO7" s="173"/>
      <c r="AP7" s="141"/>
      <c r="AQ7" s="173"/>
      <c r="AR7" s="170"/>
      <c r="AS7" s="167"/>
    </row>
    <row r="8" spans="1:48" x14ac:dyDescent="0.25">
      <c r="A8" s="131">
        <v>2</v>
      </c>
      <c r="B8" s="176" t="s">
        <v>62</v>
      </c>
      <c r="C8" s="1" t="s">
        <v>41</v>
      </c>
      <c r="D8" s="1" t="s">
        <v>41</v>
      </c>
      <c r="E8" s="1" t="s">
        <v>41</v>
      </c>
      <c r="F8" s="1" t="s">
        <v>41</v>
      </c>
      <c r="G8" s="1" t="s">
        <v>41</v>
      </c>
      <c r="H8" s="1" t="s">
        <v>41</v>
      </c>
      <c r="I8" s="1" t="s">
        <v>41</v>
      </c>
      <c r="J8" s="1" t="s">
        <v>41</v>
      </c>
      <c r="K8" s="1" t="s">
        <v>41</v>
      </c>
      <c r="L8" s="1" t="s">
        <v>41</v>
      </c>
      <c r="M8" s="1" t="s">
        <v>41</v>
      </c>
      <c r="N8" s="1" t="s">
        <v>52</v>
      </c>
      <c r="O8" s="1" t="s">
        <v>41</v>
      </c>
      <c r="P8" s="1" t="s">
        <v>41</v>
      </c>
      <c r="Q8" s="1" t="s">
        <v>41</v>
      </c>
      <c r="R8" s="1" t="s">
        <v>41</v>
      </c>
      <c r="S8" s="1" t="s">
        <v>41</v>
      </c>
      <c r="T8" s="1" t="s">
        <v>52</v>
      </c>
      <c r="U8" s="1" t="s">
        <v>41</v>
      </c>
      <c r="V8" s="1" t="s">
        <v>41</v>
      </c>
      <c r="W8" s="1" t="s">
        <v>41</v>
      </c>
      <c r="X8" s="1" t="s">
        <v>52</v>
      </c>
      <c r="Y8" s="1" t="s">
        <v>41</v>
      </c>
      <c r="Z8" s="1" t="s">
        <v>41</v>
      </c>
      <c r="AA8" s="1" t="s">
        <v>41</v>
      </c>
      <c r="AB8" s="1" t="s">
        <v>41</v>
      </c>
      <c r="AC8" s="1" t="s">
        <v>41</v>
      </c>
      <c r="AD8" s="1" t="s">
        <v>41</v>
      </c>
      <c r="AE8" s="1" t="s">
        <v>41</v>
      </c>
      <c r="AF8" s="1" t="s">
        <v>41</v>
      </c>
      <c r="AG8" s="1" t="s">
        <v>52</v>
      </c>
      <c r="AH8" s="134">
        <f>COUNTIF(C8:AG8,"P")</f>
        <v>27</v>
      </c>
      <c r="AI8" s="134">
        <f>COUNTIF(D8:AH8,"P/2")</f>
        <v>0</v>
      </c>
      <c r="AJ8" s="171">
        <f>SUM(C9:AG9)</f>
        <v>50</v>
      </c>
      <c r="AK8" s="171">
        <f>COUNTIF(C10:AG10,"BAAS")</f>
        <v>0</v>
      </c>
      <c r="AL8" s="171">
        <f>COUNTIF(D10:AH10,"RCML")</f>
        <v>0</v>
      </c>
      <c r="AM8" s="171">
        <f>COUNTIF(E10:AJ10,"PRE")</f>
        <v>0</v>
      </c>
      <c r="AN8" s="171">
        <f>COUNTIF(F10:AK10,"BAKR")</f>
        <v>0</v>
      </c>
      <c r="AO8" s="171">
        <v>700</v>
      </c>
      <c r="AP8" s="171">
        <f>AO8*AI8/2</f>
        <v>0</v>
      </c>
      <c r="AQ8" s="171">
        <f>AH8*AO8+AP8</f>
        <v>18900</v>
      </c>
      <c r="AR8" s="168">
        <f>AJ8/8*AO8</f>
        <v>4375</v>
      </c>
      <c r="AS8" s="165">
        <f>AQ8+AR8</f>
        <v>23275</v>
      </c>
    </row>
    <row r="9" spans="1:48" x14ac:dyDescent="0.25">
      <c r="A9" s="132"/>
      <c r="B9" s="177"/>
      <c r="C9" s="13">
        <v>4</v>
      </c>
      <c r="D9" s="13">
        <v>5</v>
      </c>
      <c r="E9" s="13">
        <v>2</v>
      </c>
      <c r="F9" s="13">
        <v>4</v>
      </c>
      <c r="G9" s="13">
        <v>4</v>
      </c>
      <c r="H9" s="13">
        <v>4</v>
      </c>
      <c r="I9" s="13"/>
      <c r="J9" s="13"/>
      <c r="K9" s="13"/>
      <c r="L9" s="13">
        <v>3</v>
      </c>
      <c r="M9" s="13"/>
      <c r="N9" s="13"/>
      <c r="O9" s="13">
        <v>2</v>
      </c>
      <c r="P9" s="13"/>
      <c r="Q9" s="13">
        <v>1</v>
      </c>
      <c r="R9" s="13">
        <v>1</v>
      </c>
      <c r="S9" s="13">
        <v>4</v>
      </c>
      <c r="T9" s="13"/>
      <c r="U9" s="13">
        <v>2</v>
      </c>
      <c r="V9" s="13"/>
      <c r="W9" s="13">
        <v>1</v>
      </c>
      <c r="X9" s="13"/>
      <c r="Y9" s="13">
        <v>1</v>
      </c>
      <c r="Z9" s="13">
        <v>2</v>
      </c>
      <c r="AA9" s="13">
        <v>1</v>
      </c>
      <c r="AB9" s="13">
        <v>1</v>
      </c>
      <c r="AC9" s="13">
        <v>2</v>
      </c>
      <c r="AD9" s="13">
        <v>4</v>
      </c>
      <c r="AE9" s="13">
        <v>2</v>
      </c>
      <c r="AF9" s="13"/>
      <c r="AG9" s="13"/>
      <c r="AH9" s="135"/>
      <c r="AI9" s="135"/>
      <c r="AJ9" s="172"/>
      <c r="AK9" s="172"/>
      <c r="AL9" s="172"/>
      <c r="AM9" s="172"/>
      <c r="AN9" s="172"/>
      <c r="AO9" s="172"/>
      <c r="AP9" s="172"/>
      <c r="AQ9" s="172"/>
      <c r="AR9" s="169"/>
      <c r="AS9" s="166"/>
    </row>
    <row r="10" spans="1:48" x14ac:dyDescent="0.25">
      <c r="A10" s="133"/>
      <c r="B10" s="178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36"/>
      <c r="AI10" s="136"/>
      <c r="AJ10" s="173"/>
      <c r="AK10" s="173"/>
      <c r="AL10" s="173"/>
      <c r="AM10" s="173"/>
      <c r="AN10" s="173"/>
      <c r="AO10" s="173"/>
      <c r="AP10" s="173"/>
      <c r="AQ10" s="173"/>
      <c r="AR10" s="170"/>
      <c r="AS10" s="167"/>
    </row>
    <row r="11" spans="1:48" x14ac:dyDescent="0.25">
      <c r="A11" s="131">
        <v>3</v>
      </c>
      <c r="B11" s="176" t="s">
        <v>63</v>
      </c>
      <c r="C11" s="1" t="s">
        <v>41</v>
      </c>
      <c r="D11" s="1" t="s">
        <v>41</v>
      </c>
      <c r="E11" s="1" t="s">
        <v>41</v>
      </c>
      <c r="F11" s="1" t="s">
        <v>41</v>
      </c>
      <c r="G11" s="1" t="s">
        <v>41</v>
      </c>
      <c r="H11" s="1" t="s">
        <v>41</v>
      </c>
      <c r="I11" s="1" t="s">
        <v>41</v>
      </c>
      <c r="J11" s="1" t="s">
        <v>41</v>
      </c>
      <c r="K11" s="1" t="s">
        <v>41</v>
      </c>
      <c r="L11" s="1" t="s">
        <v>41</v>
      </c>
      <c r="M11" s="1" t="s">
        <v>41</v>
      </c>
      <c r="N11" s="1" t="s">
        <v>41</v>
      </c>
      <c r="O11" s="1" t="s">
        <v>41</v>
      </c>
      <c r="P11" s="1" t="s">
        <v>41</v>
      </c>
      <c r="Q11" s="1" t="s">
        <v>52</v>
      </c>
      <c r="R11" s="1" t="s">
        <v>41</v>
      </c>
      <c r="S11" s="1" t="s">
        <v>41</v>
      </c>
      <c r="T11" s="1" t="s">
        <v>41</v>
      </c>
      <c r="U11" s="1" t="s">
        <v>41</v>
      </c>
      <c r="V11" s="1" t="s">
        <v>41</v>
      </c>
      <c r="W11" s="1" t="s">
        <v>41</v>
      </c>
      <c r="X11" s="1" t="s">
        <v>41</v>
      </c>
      <c r="Y11" s="1" t="s">
        <v>41</v>
      </c>
      <c r="Z11" s="1" t="s">
        <v>41</v>
      </c>
      <c r="AA11" s="1" t="s">
        <v>41</v>
      </c>
      <c r="AB11" s="1" t="s">
        <v>41</v>
      </c>
      <c r="AC11" s="1" t="s">
        <v>41</v>
      </c>
      <c r="AD11" s="1" t="s">
        <v>41</v>
      </c>
      <c r="AE11" s="1" t="s">
        <v>41</v>
      </c>
      <c r="AF11" s="1" t="s">
        <v>41</v>
      </c>
      <c r="AG11" s="1" t="s">
        <v>52</v>
      </c>
      <c r="AH11" s="134">
        <f>COUNTIF(C11:AG11,"P")</f>
        <v>29</v>
      </c>
      <c r="AI11" s="134">
        <f>COUNTIF(D11:AH11,"P/2")</f>
        <v>0</v>
      </c>
      <c r="AJ11" s="14"/>
      <c r="AK11" s="171">
        <f>COUNTIF(C13:AG13,"BAAS")</f>
        <v>0</v>
      </c>
      <c r="AL11" s="171">
        <f>COUNTIF(D13:AH13,"RCML")</f>
        <v>0</v>
      </c>
      <c r="AM11" s="171">
        <f>COUNTIF(E13:AJ13,"PRE")</f>
        <v>0</v>
      </c>
      <c r="AN11" s="171">
        <f>COUNTIF(F13:AK13,"BAKR")</f>
        <v>0</v>
      </c>
      <c r="AO11" s="171">
        <v>800</v>
      </c>
      <c r="AP11" s="171">
        <f>AO11*AI11/2</f>
        <v>0</v>
      </c>
      <c r="AQ11" s="171">
        <f>AH11*AO11+AP11</f>
        <v>23200</v>
      </c>
      <c r="AR11" s="168">
        <f>AJ12/8*AO11</f>
        <v>9300</v>
      </c>
      <c r="AS11" s="165">
        <f>AQ11+AR11</f>
        <v>32500</v>
      </c>
    </row>
    <row r="12" spans="1:48" x14ac:dyDescent="0.25">
      <c r="A12" s="132"/>
      <c r="B12" s="177"/>
      <c r="C12" s="13">
        <v>2</v>
      </c>
      <c r="D12" s="13">
        <v>1</v>
      </c>
      <c r="E12" s="13"/>
      <c r="F12" s="13">
        <v>3</v>
      </c>
      <c r="G12" s="13">
        <v>3</v>
      </c>
      <c r="H12" s="13"/>
      <c r="I12" s="13">
        <v>4</v>
      </c>
      <c r="J12" s="13">
        <v>6</v>
      </c>
      <c r="K12" s="13">
        <v>6</v>
      </c>
      <c r="L12" s="13">
        <v>5</v>
      </c>
      <c r="M12" s="13">
        <v>2</v>
      </c>
      <c r="N12" s="13">
        <v>5</v>
      </c>
      <c r="O12" s="13">
        <v>3</v>
      </c>
      <c r="P12" s="13">
        <v>3</v>
      </c>
      <c r="Q12" s="13"/>
      <c r="R12" s="13">
        <v>2</v>
      </c>
      <c r="S12" s="13">
        <v>5</v>
      </c>
      <c r="T12" s="13">
        <v>3</v>
      </c>
      <c r="U12" s="13"/>
      <c r="V12" s="13">
        <v>3</v>
      </c>
      <c r="W12" s="13">
        <v>4</v>
      </c>
      <c r="X12" s="13">
        <v>5</v>
      </c>
      <c r="Y12" s="13">
        <v>5</v>
      </c>
      <c r="Z12" s="13">
        <v>5</v>
      </c>
      <c r="AA12" s="13">
        <v>3</v>
      </c>
      <c r="AB12" s="13">
        <v>6</v>
      </c>
      <c r="AC12" s="13">
        <v>2</v>
      </c>
      <c r="AD12" s="13">
        <v>5</v>
      </c>
      <c r="AE12" s="13">
        <v>2</v>
      </c>
      <c r="AF12" s="13"/>
      <c r="AG12" s="13"/>
      <c r="AH12" s="135"/>
      <c r="AI12" s="135"/>
      <c r="AJ12" s="15">
        <f>SUM(C12:AG12)</f>
        <v>93</v>
      </c>
      <c r="AK12" s="172"/>
      <c r="AL12" s="172"/>
      <c r="AM12" s="172"/>
      <c r="AN12" s="172"/>
      <c r="AO12" s="172"/>
      <c r="AP12" s="172"/>
      <c r="AQ12" s="172"/>
      <c r="AR12" s="169"/>
      <c r="AS12" s="166"/>
    </row>
    <row r="13" spans="1:48" x14ac:dyDescent="0.25">
      <c r="A13" s="133"/>
      <c r="B13" s="178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36"/>
      <c r="AI13" s="136"/>
      <c r="AJ13" s="16"/>
      <c r="AK13" s="173"/>
      <c r="AL13" s="173"/>
      <c r="AM13" s="173"/>
      <c r="AN13" s="173"/>
      <c r="AO13" s="173"/>
      <c r="AP13" s="173"/>
      <c r="AQ13" s="173"/>
      <c r="AR13" s="170"/>
      <c r="AS13" s="167"/>
    </row>
    <row r="14" spans="1:48" x14ac:dyDescent="0.25">
      <c r="A14" s="131">
        <v>4</v>
      </c>
      <c r="B14" s="176" t="s">
        <v>67</v>
      </c>
      <c r="C14" s="1" t="s">
        <v>41</v>
      </c>
      <c r="D14" s="1" t="s">
        <v>41</v>
      </c>
      <c r="E14" s="1" t="s">
        <v>41</v>
      </c>
      <c r="F14" s="1" t="s">
        <v>41</v>
      </c>
      <c r="G14" s="1" t="s">
        <v>41</v>
      </c>
      <c r="H14" s="1" t="s">
        <v>41</v>
      </c>
      <c r="I14" s="1" t="s">
        <v>41</v>
      </c>
      <c r="J14" s="1" t="s">
        <v>41</v>
      </c>
      <c r="K14" s="1" t="s">
        <v>41</v>
      </c>
      <c r="L14" s="1" t="s">
        <v>41</v>
      </c>
      <c r="M14" s="1" t="s">
        <v>41</v>
      </c>
      <c r="N14" s="1" t="s">
        <v>52</v>
      </c>
      <c r="O14" s="1" t="s">
        <v>41</v>
      </c>
      <c r="P14" s="1" t="s">
        <v>41</v>
      </c>
      <c r="Q14" s="1" t="s">
        <v>41</v>
      </c>
      <c r="R14" s="1" t="s">
        <v>41</v>
      </c>
      <c r="S14" s="1" t="s">
        <v>56</v>
      </c>
      <c r="T14" s="1" t="s">
        <v>41</v>
      </c>
      <c r="U14" s="1" t="s">
        <v>41</v>
      </c>
      <c r="V14" s="1" t="s">
        <v>41</v>
      </c>
      <c r="W14" s="1" t="s">
        <v>41</v>
      </c>
      <c r="X14" s="1" t="s">
        <v>41</v>
      </c>
      <c r="Y14" s="1" t="s">
        <v>41</v>
      </c>
      <c r="Z14" s="1" t="s">
        <v>41</v>
      </c>
      <c r="AA14" s="1" t="s">
        <v>41</v>
      </c>
      <c r="AB14" s="1" t="s">
        <v>56</v>
      </c>
      <c r="AC14" s="1" t="s">
        <v>52</v>
      </c>
      <c r="AD14" s="1" t="s">
        <v>52</v>
      </c>
      <c r="AE14" s="1" t="s">
        <v>52</v>
      </c>
      <c r="AF14" s="1" t="s">
        <v>52</v>
      </c>
      <c r="AG14" s="1" t="s">
        <v>52</v>
      </c>
      <c r="AH14" s="134">
        <f>COUNTIF(C14:AG14,"P")</f>
        <v>23</v>
      </c>
      <c r="AI14" s="134">
        <f>COUNTIF(D14:AH14,"P/2")</f>
        <v>2</v>
      </c>
      <c r="AJ14" s="14"/>
      <c r="AK14" s="171">
        <f>COUNTIF(C16:AG16,"BAAS")</f>
        <v>0</v>
      </c>
      <c r="AL14" s="171">
        <f>COUNTIF(D16:AH16,"RCML")</f>
        <v>0</v>
      </c>
      <c r="AM14" s="171">
        <f>COUNTIF(E16:AJ16,"PRE")</f>
        <v>0</v>
      </c>
      <c r="AN14" s="171">
        <f>COUNTIF(F16:AK16,"BAKR")</f>
        <v>0</v>
      </c>
      <c r="AO14" s="171">
        <v>700</v>
      </c>
      <c r="AP14" s="171">
        <f>AO14*AI14/2</f>
        <v>700</v>
      </c>
      <c r="AQ14" s="171">
        <f>AH14*AO14+AP14</f>
        <v>16800</v>
      </c>
      <c r="AR14" s="168">
        <f>AJ15/8*AO14</f>
        <v>2975</v>
      </c>
      <c r="AS14" s="165">
        <f>AQ14+AR14</f>
        <v>19775</v>
      </c>
    </row>
    <row r="15" spans="1:48" x14ac:dyDescent="0.25">
      <c r="A15" s="132"/>
      <c r="B15" s="177"/>
      <c r="C15" s="9">
        <v>2</v>
      </c>
      <c r="D15" s="9">
        <v>5</v>
      </c>
      <c r="E15" s="9">
        <v>2</v>
      </c>
      <c r="F15" s="9">
        <v>4</v>
      </c>
      <c r="G15" s="9">
        <v>4</v>
      </c>
      <c r="H15" s="9"/>
      <c r="I15" s="9"/>
      <c r="J15" s="9"/>
      <c r="K15" s="9"/>
      <c r="L15" s="9">
        <v>4</v>
      </c>
      <c r="M15" s="9"/>
      <c r="N15" s="9"/>
      <c r="O15" s="9">
        <v>2</v>
      </c>
      <c r="P15" s="9"/>
      <c r="Q15" s="9"/>
      <c r="R15" s="9"/>
      <c r="S15" s="9"/>
      <c r="T15" s="9"/>
      <c r="U15" s="9">
        <v>3</v>
      </c>
      <c r="V15" s="9">
        <v>2</v>
      </c>
      <c r="W15" s="9">
        <v>1</v>
      </c>
      <c r="X15" s="9">
        <v>1</v>
      </c>
      <c r="Y15" s="9">
        <v>1</v>
      </c>
      <c r="Z15" s="9">
        <v>2</v>
      </c>
      <c r="AA15" s="9">
        <v>1</v>
      </c>
      <c r="AB15" s="9"/>
      <c r="AC15" s="9"/>
      <c r="AD15" s="9"/>
      <c r="AE15" s="9"/>
      <c r="AF15" s="9"/>
      <c r="AG15" s="9"/>
      <c r="AH15" s="135"/>
      <c r="AI15" s="135"/>
      <c r="AJ15" s="15">
        <f>SUM(C15:AG15)</f>
        <v>34</v>
      </c>
      <c r="AK15" s="172"/>
      <c r="AL15" s="172"/>
      <c r="AM15" s="172"/>
      <c r="AN15" s="172"/>
      <c r="AO15" s="172"/>
      <c r="AP15" s="172"/>
      <c r="AQ15" s="172"/>
      <c r="AR15" s="169"/>
      <c r="AS15" s="166"/>
      <c r="AT15">
        <v>19862</v>
      </c>
      <c r="AU15" s="46"/>
      <c r="AV15">
        <v>87</v>
      </c>
    </row>
    <row r="16" spans="1:48" x14ac:dyDescent="0.25">
      <c r="A16" s="133"/>
      <c r="B16" s="178"/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36"/>
      <c r="AI16" s="136"/>
      <c r="AJ16" s="16"/>
      <c r="AK16" s="173"/>
      <c r="AL16" s="173"/>
      <c r="AM16" s="173"/>
      <c r="AN16" s="173"/>
      <c r="AO16" s="173"/>
      <c r="AP16" s="173"/>
      <c r="AQ16" s="173"/>
      <c r="AR16" s="170"/>
      <c r="AS16" s="167"/>
      <c r="AU16" s="46"/>
    </row>
    <row r="17" spans="1:47" x14ac:dyDescent="0.25">
      <c r="A17" s="131">
        <v>5</v>
      </c>
      <c r="B17" s="176" t="s">
        <v>66</v>
      </c>
      <c r="C17" s="1" t="s">
        <v>41</v>
      </c>
      <c r="D17" s="1" t="s">
        <v>41</v>
      </c>
      <c r="E17" s="1" t="s">
        <v>41</v>
      </c>
      <c r="F17" s="1" t="s">
        <v>41</v>
      </c>
      <c r="G17" s="1" t="s">
        <v>41</v>
      </c>
      <c r="H17" s="1" t="s">
        <v>41</v>
      </c>
      <c r="I17" s="1" t="s">
        <v>41</v>
      </c>
      <c r="J17" s="1" t="s">
        <v>41</v>
      </c>
      <c r="K17" s="1" t="s">
        <v>41</v>
      </c>
      <c r="L17" s="1" t="s">
        <v>41</v>
      </c>
      <c r="M17" s="1" t="s">
        <v>41</v>
      </c>
      <c r="N17" s="1" t="s">
        <v>41</v>
      </c>
      <c r="O17" s="1" t="s">
        <v>41</v>
      </c>
      <c r="P17" s="1" t="s">
        <v>41</v>
      </c>
      <c r="Q17" s="1" t="s">
        <v>41</v>
      </c>
      <c r="R17" s="1" t="s">
        <v>41</v>
      </c>
      <c r="S17" s="1" t="s">
        <v>41</v>
      </c>
      <c r="T17" s="1" t="s">
        <v>41</v>
      </c>
      <c r="U17" s="1" t="s">
        <v>41</v>
      </c>
      <c r="V17" s="1" t="s">
        <v>41</v>
      </c>
      <c r="W17" s="1" t="s">
        <v>41</v>
      </c>
      <c r="X17" s="1" t="s">
        <v>41</v>
      </c>
      <c r="Y17" s="1" t="s">
        <v>41</v>
      </c>
      <c r="Z17" s="1" t="s">
        <v>41</v>
      </c>
      <c r="AA17" s="1" t="s">
        <v>41</v>
      </c>
      <c r="AB17" s="1" t="s">
        <v>41</v>
      </c>
      <c r="AC17" s="1" t="s">
        <v>41</v>
      </c>
      <c r="AD17" s="1" t="s">
        <v>52</v>
      </c>
      <c r="AE17" s="1" t="s">
        <v>41</v>
      </c>
      <c r="AF17" s="1" t="s">
        <v>41</v>
      </c>
      <c r="AG17" s="1" t="s">
        <v>52</v>
      </c>
      <c r="AH17" s="134">
        <f>COUNTIF(C17:AG17,"P")</f>
        <v>29</v>
      </c>
      <c r="AI17" s="134">
        <f>COUNTIF(D17:AH17,"P/2")</f>
        <v>0</v>
      </c>
      <c r="AJ17" s="14"/>
      <c r="AK17" s="171">
        <f>COUNTIF(C19:AG19,"BAAS")</f>
        <v>0</v>
      </c>
      <c r="AL17" s="171">
        <f>COUNTIF(D19:AH19,"RCML")</f>
        <v>0</v>
      </c>
      <c r="AM17" s="171">
        <f>COUNTIF(E19:AJ19,"PRE")</f>
        <v>0</v>
      </c>
      <c r="AN17" s="171">
        <f>COUNTIF(F19:AK19,"BAKR")</f>
        <v>0</v>
      </c>
      <c r="AO17" s="171">
        <v>800</v>
      </c>
      <c r="AP17" s="171">
        <f>AO17*AI17/2</f>
        <v>0</v>
      </c>
      <c r="AQ17" s="171">
        <f>AH17*AO17+AP17</f>
        <v>23200</v>
      </c>
      <c r="AR17" s="168">
        <f>AJ18/8*AO17</f>
        <v>9300</v>
      </c>
      <c r="AS17" s="171">
        <f t="shared" ref="AS17:AS23" si="0">AQ17+AR17</f>
        <v>32500</v>
      </c>
      <c r="AU17" s="46"/>
    </row>
    <row r="18" spans="1:47" x14ac:dyDescent="0.25">
      <c r="A18" s="132"/>
      <c r="B18" s="177"/>
      <c r="C18" s="9">
        <v>5</v>
      </c>
      <c r="D18" s="9">
        <v>4</v>
      </c>
      <c r="E18" s="9">
        <v>1</v>
      </c>
      <c r="F18" s="9">
        <v>1</v>
      </c>
      <c r="G18" s="9">
        <v>3</v>
      </c>
      <c r="H18" s="9"/>
      <c r="I18" s="9">
        <v>4</v>
      </c>
      <c r="J18" s="9">
        <v>6</v>
      </c>
      <c r="K18" s="9">
        <v>6</v>
      </c>
      <c r="L18" s="9">
        <v>5</v>
      </c>
      <c r="M18" s="9">
        <v>2</v>
      </c>
      <c r="N18" s="9">
        <v>5</v>
      </c>
      <c r="O18" s="9">
        <v>3</v>
      </c>
      <c r="P18" s="9">
        <v>3</v>
      </c>
      <c r="Q18" s="9"/>
      <c r="R18" s="9">
        <v>4</v>
      </c>
      <c r="S18" s="9">
        <v>5</v>
      </c>
      <c r="T18" s="9">
        <v>3</v>
      </c>
      <c r="U18" s="9"/>
      <c r="V18" s="9">
        <v>7</v>
      </c>
      <c r="W18" s="9">
        <v>4</v>
      </c>
      <c r="X18" s="9">
        <v>5</v>
      </c>
      <c r="Y18" s="9">
        <v>5</v>
      </c>
      <c r="Z18" s="9"/>
      <c r="AA18" s="9">
        <v>1</v>
      </c>
      <c r="AB18" s="9">
        <v>4</v>
      </c>
      <c r="AC18" s="9">
        <v>7</v>
      </c>
      <c r="AD18" s="9"/>
      <c r="AE18" s="9"/>
      <c r="AF18" s="9"/>
      <c r="AG18" s="9"/>
      <c r="AH18" s="135"/>
      <c r="AI18" s="135"/>
      <c r="AJ18" s="15">
        <f>SUM(C18:AG18)</f>
        <v>93</v>
      </c>
      <c r="AK18" s="172"/>
      <c r="AL18" s="172"/>
      <c r="AM18" s="172"/>
      <c r="AN18" s="172"/>
      <c r="AO18" s="172"/>
      <c r="AP18" s="172"/>
      <c r="AQ18" s="172"/>
      <c r="AR18" s="169"/>
      <c r="AS18" s="172"/>
      <c r="AT18">
        <v>32100</v>
      </c>
      <c r="AU18" s="46">
        <f>AS17-AT18</f>
        <v>400</v>
      </c>
    </row>
    <row r="19" spans="1:47" x14ac:dyDescent="0.25">
      <c r="A19" s="133"/>
      <c r="B19" s="178"/>
      <c r="C19" s="9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36"/>
      <c r="AI19" s="136"/>
      <c r="AJ19" s="16"/>
      <c r="AK19" s="173"/>
      <c r="AL19" s="173"/>
      <c r="AM19" s="173"/>
      <c r="AN19" s="173"/>
      <c r="AO19" s="173"/>
      <c r="AP19" s="173"/>
      <c r="AQ19" s="173"/>
      <c r="AR19" s="170"/>
      <c r="AS19" s="173"/>
      <c r="AU19" s="46"/>
    </row>
    <row r="20" spans="1:47" x14ac:dyDescent="0.25">
      <c r="A20" s="131">
        <v>6</v>
      </c>
      <c r="B20" s="176" t="s">
        <v>65</v>
      </c>
      <c r="C20" s="1" t="s">
        <v>41</v>
      </c>
      <c r="D20" s="1" t="s">
        <v>41</v>
      </c>
      <c r="E20" s="1" t="s">
        <v>41</v>
      </c>
      <c r="F20" s="1" t="s">
        <v>41</v>
      </c>
      <c r="G20" s="1" t="s">
        <v>41</v>
      </c>
      <c r="H20" s="1" t="s">
        <v>41</v>
      </c>
      <c r="I20" s="1" t="s">
        <v>41</v>
      </c>
      <c r="J20" s="1" t="s">
        <v>52</v>
      </c>
      <c r="K20" s="1" t="s">
        <v>41</v>
      </c>
      <c r="L20" s="1" t="s">
        <v>41</v>
      </c>
      <c r="M20" s="1" t="s">
        <v>41</v>
      </c>
      <c r="N20" s="1" t="s">
        <v>41</v>
      </c>
      <c r="O20" s="1" t="s">
        <v>41</v>
      </c>
      <c r="P20" s="1" t="s">
        <v>41</v>
      </c>
      <c r="Q20" s="1" t="s">
        <v>52</v>
      </c>
      <c r="R20" s="1" t="s">
        <v>41</v>
      </c>
      <c r="S20" s="1" t="s">
        <v>41</v>
      </c>
      <c r="T20" s="1" t="s">
        <v>41</v>
      </c>
      <c r="U20" s="1" t="s">
        <v>41</v>
      </c>
      <c r="V20" s="1" t="s">
        <v>41</v>
      </c>
      <c r="W20" s="1" t="s">
        <v>41</v>
      </c>
      <c r="X20" s="1" t="s">
        <v>41</v>
      </c>
      <c r="Y20" s="1" t="s">
        <v>41</v>
      </c>
      <c r="Z20" s="1" t="s">
        <v>41</v>
      </c>
      <c r="AA20" s="1" t="s">
        <v>41</v>
      </c>
      <c r="AB20" s="1" t="s">
        <v>41</v>
      </c>
      <c r="AC20" s="1" t="s">
        <v>41</v>
      </c>
      <c r="AD20" s="1" t="s">
        <v>41</v>
      </c>
      <c r="AE20" s="1" t="s">
        <v>41</v>
      </c>
      <c r="AF20" s="1" t="s">
        <v>41</v>
      </c>
      <c r="AG20" s="1" t="s">
        <v>52</v>
      </c>
      <c r="AH20" s="134">
        <f>COUNTIF(C20:AG20,"P")</f>
        <v>28</v>
      </c>
      <c r="AI20" s="134">
        <f>COUNTIF(D20:AH20,"P/2")</f>
        <v>0</v>
      </c>
      <c r="AJ20" s="14"/>
      <c r="AK20" s="171">
        <f>COUNTIF(C22:AG22,"BAAS")</f>
        <v>0</v>
      </c>
      <c r="AL20" s="171">
        <f>COUNTIF(D22:AH22,"RCML")</f>
        <v>0</v>
      </c>
      <c r="AM20" s="171">
        <f>COUNTIF(E22:AJ22,"PRE")</f>
        <v>0</v>
      </c>
      <c r="AN20" s="171">
        <f>COUNTIF(F22:AK22,"BAKR")</f>
        <v>0</v>
      </c>
      <c r="AO20" s="171">
        <v>700</v>
      </c>
      <c r="AP20" s="171">
        <f>AO20*AI20/2</f>
        <v>0</v>
      </c>
      <c r="AQ20" s="171">
        <f>AH20*AO20+AP20</f>
        <v>19600</v>
      </c>
      <c r="AR20" s="168">
        <f>AJ21/8*AO20</f>
        <v>5337.5</v>
      </c>
      <c r="AS20" s="168">
        <f t="shared" si="0"/>
        <v>24937.5</v>
      </c>
      <c r="AU20" s="46"/>
    </row>
    <row r="21" spans="1:47" x14ac:dyDescent="0.25">
      <c r="A21" s="132"/>
      <c r="B21" s="177"/>
      <c r="C21" s="9">
        <v>5</v>
      </c>
      <c r="D21" s="9">
        <v>4</v>
      </c>
      <c r="E21" s="9">
        <v>1</v>
      </c>
      <c r="F21" s="9">
        <v>2</v>
      </c>
      <c r="G21" s="9">
        <v>1</v>
      </c>
      <c r="H21" s="9"/>
      <c r="I21" s="9">
        <v>4</v>
      </c>
      <c r="J21" s="9"/>
      <c r="K21" s="9">
        <v>6</v>
      </c>
      <c r="L21" s="9">
        <v>4</v>
      </c>
      <c r="M21" s="9">
        <v>2</v>
      </c>
      <c r="N21" s="9">
        <v>4</v>
      </c>
      <c r="O21" s="9">
        <v>6</v>
      </c>
      <c r="P21" s="9">
        <v>3</v>
      </c>
      <c r="Q21" s="9"/>
      <c r="R21" s="9"/>
      <c r="S21" s="9"/>
      <c r="T21" s="9">
        <v>1</v>
      </c>
      <c r="U21" s="9"/>
      <c r="V21" s="9"/>
      <c r="W21" s="9">
        <v>3</v>
      </c>
      <c r="X21" s="9">
        <v>2</v>
      </c>
      <c r="Y21" s="9">
        <v>1</v>
      </c>
      <c r="Z21" s="9">
        <v>3</v>
      </c>
      <c r="AA21" s="9">
        <v>1</v>
      </c>
      <c r="AB21" s="9">
        <v>3</v>
      </c>
      <c r="AC21" s="9"/>
      <c r="AD21" s="9">
        <v>4</v>
      </c>
      <c r="AE21" s="9">
        <v>1</v>
      </c>
      <c r="AF21" s="9"/>
      <c r="AG21" s="9"/>
      <c r="AH21" s="135"/>
      <c r="AI21" s="135"/>
      <c r="AJ21" s="15">
        <f>SUM(C21:AG21)</f>
        <v>61</v>
      </c>
      <c r="AK21" s="172"/>
      <c r="AL21" s="172"/>
      <c r="AM21" s="172"/>
      <c r="AN21" s="172"/>
      <c r="AO21" s="172"/>
      <c r="AP21" s="172"/>
      <c r="AQ21" s="172"/>
      <c r="AR21" s="169"/>
      <c r="AS21" s="169"/>
      <c r="AU21" s="46"/>
    </row>
    <row r="22" spans="1:47" x14ac:dyDescent="0.25">
      <c r="A22" s="133"/>
      <c r="B22" s="178"/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36"/>
      <c r="AI22" s="136"/>
      <c r="AJ22" s="16"/>
      <c r="AK22" s="173"/>
      <c r="AL22" s="173"/>
      <c r="AM22" s="173"/>
      <c r="AN22" s="173"/>
      <c r="AO22" s="173"/>
      <c r="AP22" s="173"/>
      <c r="AQ22" s="173"/>
      <c r="AR22" s="170"/>
      <c r="AS22" s="170"/>
      <c r="AU22" s="46"/>
    </row>
    <row r="23" spans="1:47" x14ac:dyDescent="0.25">
      <c r="A23" s="131">
        <v>7</v>
      </c>
      <c r="B23" s="176" t="s">
        <v>64</v>
      </c>
      <c r="C23" s="1" t="s">
        <v>41</v>
      </c>
      <c r="D23" s="1" t="s">
        <v>41</v>
      </c>
      <c r="E23" s="1" t="s">
        <v>52</v>
      </c>
      <c r="F23" s="1" t="s">
        <v>41</v>
      </c>
      <c r="G23" s="1" t="s">
        <v>41</v>
      </c>
      <c r="H23" s="1" t="s">
        <v>41</v>
      </c>
      <c r="I23" s="1" t="s">
        <v>56</v>
      </c>
      <c r="J23" s="1" t="s">
        <v>41</v>
      </c>
      <c r="K23" s="1" t="s">
        <v>41</v>
      </c>
      <c r="L23" s="1" t="s">
        <v>41</v>
      </c>
      <c r="M23" s="1" t="s">
        <v>56</v>
      </c>
      <c r="N23" s="1" t="s">
        <v>52</v>
      </c>
      <c r="O23" s="1" t="s">
        <v>41</v>
      </c>
      <c r="P23" s="1" t="s">
        <v>41</v>
      </c>
      <c r="Q23" s="1" t="s">
        <v>52</v>
      </c>
      <c r="R23" s="1" t="s">
        <v>41</v>
      </c>
      <c r="S23" s="1" t="s">
        <v>41</v>
      </c>
      <c r="T23" s="1" t="s">
        <v>41</v>
      </c>
      <c r="U23" s="1" t="s">
        <v>41</v>
      </c>
      <c r="V23" s="1" t="s">
        <v>41</v>
      </c>
      <c r="W23" s="1" t="s">
        <v>41</v>
      </c>
      <c r="X23" s="1" t="s">
        <v>41</v>
      </c>
      <c r="Y23" s="1" t="s">
        <v>41</v>
      </c>
      <c r="Z23" s="1" t="s">
        <v>41</v>
      </c>
      <c r="AA23" s="1" t="s">
        <v>41</v>
      </c>
      <c r="AB23" s="1" t="s">
        <v>52</v>
      </c>
      <c r="AC23" s="1" t="s">
        <v>41</v>
      </c>
      <c r="AD23" s="1" t="s">
        <v>41</v>
      </c>
      <c r="AE23" s="1" t="s">
        <v>41</v>
      </c>
      <c r="AF23" s="1" t="s">
        <v>41</v>
      </c>
      <c r="AG23" s="1" t="s">
        <v>52</v>
      </c>
      <c r="AH23" s="134">
        <f>COUNTIF(C23:AG23,"P")</f>
        <v>24</v>
      </c>
      <c r="AI23" s="134">
        <f>COUNTIF(D23:AH23,"P/2")</f>
        <v>2</v>
      </c>
      <c r="AJ23" s="14"/>
      <c r="AK23" s="171">
        <f>COUNTIF(C25:AG25,"BAAS")</f>
        <v>0</v>
      </c>
      <c r="AL23" s="171">
        <f>COUNTIF(D25:AH25,"RCML")</f>
        <v>0</v>
      </c>
      <c r="AM23" s="171">
        <f>COUNTIF(E25:AJ25,"PRE")</f>
        <v>0</v>
      </c>
      <c r="AN23" s="171">
        <f>COUNTIF(F25:AK25,"BAKR")</f>
        <v>0</v>
      </c>
      <c r="AO23" s="171">
        <v>700</v>
      </c>
      <c r="AP23" s="171">
        <f>AO23*AI23/2</f>
        <v>700</v>
      </c>
      <c r="AQ23" s="171">
        <f>AH23*AO23+AP23</f>
        <v>17500</v>
      </c>
      <c r="AR23" s="168">
        <f>AJ24/8*AO23</f>
        <v>4550</v>
      </c>
      <c r="AS23" s="171">
        <f t="shared" si="0"/>
        <v>22050</v>
      </c>
      <c r="AU23" s="46"/>
    </row>
    <row r="24" spans="1:47" x14ac:dyDescent="0.25">
      <c r="A24" s="132"/>
      <c r="B24" s="177"/>
      <c r="C24" s="9">
        <v>2</v>
      </c>
      <c r="D24" s="9">
        <v>1</v>
      </c>
      <c r="E24" s="9"/>
      <c r="F24" s="9">
        <v>3</v>
      </c>
      <c r="G24" s="9">
        <v>3</v>
      </c>
      <c r="H24" s="9">
        <v>2</v>
      </c>
      <c r="I24" s="9"/>
      <c r="J24" s="9">
        <v>5</v>
      </c>
      <c r="K24" s="9">
        <v>6</v>
      </c>
      <c r="L24" s="9">
        <v>5</v>
      </c>
      <c r="M24" s="9"/>
      <c r="N24" s="9"/>
      <c r="O24" s="9">
        <v>1</v>
      </c>
      <c r="P24" s="9">
        <v>3</v>
      </c>
      <c r="Q24" s="9"/>
      <c r="R24" s="9">
        <v>2</v>
      </c>
      <c r="S24" s="9">
        <v>5</v>
      </c>
      <c r="T24" s="9">
        <v>1</v>
      </c>
      <c r="U24" s="9"/>
      <c r="V24" s="9"/>
      <c r="W24" s="9">
        <v>3</v>
      </c>
      <c r="X24" s="9">
        <v>2</v>
      </c>
      <c r="Y24" s="9">
        <v>3</v>
      </c>
      <c r="Z24" s="9">
        <v>2</v>
      </c>
      <c r="AA24" s="9">
        <v>3</v>
      </c>
      <c r="AB24" s="9"/>
      <c r="AC24" s="9"/>
      <c r="AD24" s="9"/>
      <c r="AE24" s="9"/>
      <c r="AF24" s="9"/>
      <c r="AG24" s="9"/>
      <c r="AH24" s="135"/>
      <c r="AI24" s="135"/>
      <c r="AJ24" s="15">
        <f>SUM(C24:AG24)</f>
        <v>52</v>
      </c>
      <c r="AK24" s="172"/>
      <c r="AL24" s="172"/>
      <c r="AM24" s="172"/>
      <c r="AN24" s="172"/>
      <c r="AO24" s="172"/>
      <c r="AP24" s="172"/>
      <c r="AQ24" s="172"/>
      <c r="AR24" s="169"/>
      <c r="AS24" s="172"/>
      <c r="AT24">
        <v>21525</v>
      </c>
      <c r="AU24" s="46">
        <f>AS23-AT24</f>
        <v>525</v>
      </c>
    </row>
    <row r="25" spans="1:47" x14ac:dyDescent="0.25">
      <c r="A25" s="133"/>
      <c r="B25" s="178"/>
      <c r="C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36"/>
      <c r="AI25" s="136"/>
      <c r="AJ25" s="16"/>
      <c r="AK25" s="173"/>
      <c r="AL25" s="173"/>
      <c r="AM25" s="173"/>
      <c r="AN25" s="173"/>
      <c r="AO25" s="173"/>
      <c r="AP25" s="173"/>
      <c r="AQ25" s="173"/>
      <c r="AR25" s="170"/>
      <c r="AS25" s="173"/>
      <c r="AU25" s="46"/>
    </row>
    <row r="26" spans="1:47" x14ac:dyDescent="0.25">
      <c r="A26" s="131">
        <v>8</v>
      </c>
      <c r="B26" s="176" t="s">
        <v>68</v>
      </c>
      <c r="C26" s="1" t="s">
        <v>41</v>
      </c>
      <c r="D26" s="1" t="s">
        <v>41</v>
      </c>
      <c r="E26" s="1" t="s">
        <v>41</v>
      </c>
      <c r="F26" s="1" t="s">
        <v>41</v>
      </c>
      <c r="G26" s="1" t="s">
        <v>41</v>
      </c>
      <c r="H26" s="1" t="s">
        <v>41</v>
      </c>
      <c r="I26" s="1" t="s">
        <v>41</v>
      </c>
      <c r="J26" s="1" t="s">
        <v>41</v>
      </c>
      <c r="K26" s="1" t="s">
        <v>41</v>
      </c>
      <c r="L26" s="1" t="s">
        <v>41</v>
      </c>
      <c r="M26" s="1" t="s">
        <v>41</v>
      </c>
      <c r="N26" s="1" t="s">
        <v>41</v>
      </c>
      <c r="O26" s="1" t="s">
        <v>41</v>
      </c>
      <c r="P26" s="1" t="s">
        <v>52</v>
      </c>
      <c r="Q26" s="1" t="s">
        <v>52</v>
      </c>
      <c r="R26" s="1" t="s">
        <v>41</v>
      </c>
      <c r="S26" s="1" t="s">
        <v>41</v>
      </c>
      <c r="T26" s="1" t="s">
        <v>41</v>
      </c>
      <c r="U26" s="1" t="s">
        <v>41</v>
      </c>
      <c r="V26" s="1" t="s">
        <v>41</v>
      </c>
      <c r="W26" s="1" t="s">
        <v>41</v>
      </c>
      <c r="X26" s="1" t="s">
        <v>41</v>
      </c>
      <c r="Y26" s="1" t="s">
        <v>41</v>
      </c>
      <c r="Z26" s="1" t="s">
        <v>56</v>
      </c>
      <c r="AA26" s="1" t="s">
        <v>41</v>
      </c>
      <c r="AB26" s="1" t="s">
        <v>41</v>
      </c>
      <c r="AC26" s="1" t="s">
        <v>41</v>
      </c>
      <c r="AD26" s="1" t="s">
        <v>41</v>
      </c>
      <c r="AE26" s="1" t="s">
        <v>41</v>
      </c>
      <c r="AF26" s="1" t="s">
        <v>41</v>
      </c>
      <c r="AG26" s="1" t="s">
        <v>52</v>
      </c>
      <c r="AH26" s="134">
        <f>COUNTIF(C26:AG26,"P")</f>
        <v>27</v>
      </c>
      <c r="AI26" s="134">
        <f>COUNTIF(D26:AH26,"P/2")</f>
        <v>1</v>
      </c>
      <c r="AJ26" s="15"/>
      <c r="AK26" s="171">
        <f>COUNTIF(C28:AG28,"BAAS")</f>
        <v>0</v>
      </c>
      <c r="AL26" s="171">
        <f>COUNTIF(D28:AH28,"RCML")</f>
        <v>0</v>
      </c>
      <c r="AM26" s="171">
        <f>COUNTIF(E28:AJ28,"PRE")</f>
        <v>0</v>
      </c>
      <c r="AN26" s="171">
        <f>COUNTIF(F28:AK28,"BAKR")</f>
        <v>0</v>
      </c>
      <c r="AO26" s="171">
        <v>600</v>
      </c>
      <c r="AP26" s="171">
        <f>AO26*AI26/2</f>
        <v>300</v>
      </c>
      <c r="AQ26" s="171">
        <f>AH26*AO26+AP26</f>
        <v>16500</v>
      </c>
      <c r="AR26" s="168">
        <f>AJ27/8*AO26</f>
        <v>4575</v>
      </c>
      <c r="AS26" s="168">
        <f>AQ26+AR26</f>
        <v>21075</v>
      </c>
      <c r="AU26" s="46"/>
    </row>
    <row r="27" spans="1:47" x14ac:dyDescent="0.25">
      <c r="A27" s="132"/>
      <c r="B27" s="177"/>
      <c r="C27" s="9">
        <v>2</v>
      </c>
      <c r="D27" s="9">
        <v>1</v>
      </c>
      <c r="E27" s="9"/>
      <c r="F27" s="9">
        <v>1</v>
      </c>
      <c r="G27" s="9">
        <v>1</v>
      </c>
      <c r="H27" s="9"/>
      <c r="I27" s="9">
        <v>4</v>
      </c>
      <c r="J27" s="9">
        <v>5</v>
      </c>
      <c r="K27" s="9">
        <v>8</v>
      </c>
      <c r="L27" s="9">
        <v>6</v>
      </c>
      <c r="M27" s="9">
        <v>2</v>
      </c>
      <c r="N27" s="9"/>
      <c r="O27" s="9"/>
      <c r="P27" s="9"/>
      <c r="Q27" s="9"/>
      <c r="R27" s="9">
        <v>2</v>
      </c>
      <c r="S27" s="9"/>
      <c r="T27" s="9">
        <v>3</v>
      </c>
      <c r="U27" s="9"/>
      <c r="V27" s="9">
        <v>3</v>
      </c>
      <c r="W27" s="9">
        <v>3</v>
      </c>
      <c r="X27" s="9">
        <v>3</v>
      </c>
      <c r="Y27" s="9">
        <v>3</v>
      </c>
      <c r="Z27" s="9"/>
      <c r="AA27" s="9">
        <v>1</v>
      </c>
      <c r="AB27" s="9">
        <v>5</v>
      </c>
      <c r="AC27" s="9">
        <v>4</v>
      </c>
      <c r="AD27" s="9">
        <v>4</v>
      </c>
      <c r="AE27" s="9"/>
      <c r="AF27" s="9"/>
      <c r="AG27" s="9"/>
      <c r="AH27" s="135"/>
      <c r="AI27" s="135"/>
      <c r="AJ27" s="15">
        <f>SUM(C27:AG27)</f>
        <v>61</v>
      </c>
      <c r="AK27" s="172"/>
      <c r="AL27" s="172"/>
      <c r="AM27" s="172"/>
      <c r="AN27" s="172"/>
      <c r="AO27" s="172"/>
      <c r="AP27" s="172"/>
      <c r="AQ27" s="172"/>
      <c r="AR27" s="169"/>
      <c r="AS27" s="169"/>
      <c r="AT27">
        <v>20925</v>
      </c>
      <c r="AU27" s="46">
        <f>AS26-AT27</f>
        <v>150</v>
      </c>
    </row>
    <row r="28" spans="1:47" x14ac:dyDescent="0.25">
      <c r="A28" s="133"/>
      <c r="B28" s="178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36"/>
      <c r="AI28" s="136"/>
      <c r="AJ28" s="16"/>
      <c r="AK28" s="173"/>
      <c r="AL28" s="173"/>
      <c r="AM28" s="173"/>
      <c r="AN28" s="173"/>
      <c r="AO28" s="173"/>
      <c r="AP28" s="173"/>
      <c r="AQ28" s="173"/>
      <c r="AR28" s="170"/>
      <c r="AS28" s="170"/>
      <c r="AU28" s="46"/>
    </row>
    <row r="29" spans="1:47" x14ac:dyDescent="0.25">
      <c r="A29" s="131">
        <v>9</v>
      </c>
      <c r="B29" s="176" t="s">
        <v>69</v>
      </c>
      <c r="C29" s="1" t="s">
        <v>41</v>
      </c>
      <c r="D29" s="1" t="s">
        <v>41</v>
      </c>
      <c r="E29" s="1" t="s">
        <v>41</v>
      </c>
      <c r="F29" s="1" t="s">
        <v>41</v>
      </c>
      <c r="G29" s="1" t="s">
        <v>41</v>
      </c>
      <c r="H29" s="1" t="s">
        <v>41</v>
      </c>
      <c r="I29" s="1" t="s">
        <v>41</v>
      </c>
      <c r="J29" s="1" t="s">
        <v>41</v>
      </c>
      <c r="K29" s="1" t="s">
        <v>41</v>
      </c>
      <c r="L29" s="1" t="s">
        <v>41</v>
      </c>
      <c r="M29" s="1" t="s">
        <v>41</v>
      </c>
      <c r="N29" s="1" t="s">
        <v>41</v>
      </c>
      <c r="O29" s="1" t="s">
        <v>41</v>
      </c>
      <c r="P29" s="1" t="s">
        <v>52</v>
      </c>
      <c r="Q29" s="1" t="s">
        <v>52</v>
      </c>
      <c r="R29" s="1" t="s">
        <v>41</v>
      </c>
      <c r="S29" s="1" t="s">
        <v>41</v>
      </c>
      <c r="T29" s="1" t="s">
        <v>41</v>
      </c>
      <c r="U29" s="1" t="s">
        <v>41</v>
      </c>
      <c r="V29" s="1" t="s">
        <v>41</v>
      </c>
      <c r="W29" s="1" t="s">
        <v>41</v>
      </c>
      <c r="X29" s="1" t="s">
        <v>41</v>
      </c>
      <c r="Y29" s="1" t="s">
        <v>41</v>
      </c>
      <c r="Z29" s="1" t="s">
        <v>41</v>
      </c>
      <c r="AA29" s="1" t="s">
        <v>41</v>
      </c>
      <c r="AB29" s="1" t="s">
        <v>41</v>
      </c>
      <c r="AC29" s="1" t="s">
        <v>41</v>
      </c>
      <c r="AD29" s="1" t="s">
        <v>41</v>
      </c>
      <c r="AE29" s="1" t="s">
        <v>41</v>
      </c>
      <c r="AF29" s="1" t="s">
        <v>41</v>
      </c>
      <c r="AG29" s="1" t="s">
        <v>52</v>
      </c>
      <c r="AH29" s="134">
        <f>COUNTIF(C29:AG29,"P")</f>
        <v>28</v>
      </c>
      <c r="AI29" s="134">
        <f>COUNTIF(D29:AH29,"P/2")</f>
        <v>0</v>
      </c>
      <c r="AJ29" s="15"/>
      <c r="AK29" s="171">
        <f>COUNTIF(C31:AG31,"BAAS")</f>
        <v>0</v>
      </c>
      <c r="AL29" s="171">
        <f>COUNTIF(D31:AH31,"RCML")</f>
        <v>0</v>
      </c>
      <c r="AM29" s="171">
        <f>COUNTIF(E31:AJ31,"PRE")</f>
        <v>0</v>
      </c>
      <c r="AN29" s="171">
        <f>COUNTIF(F31:AK31,"BAKR")</f>
        <v>0</v>
      </c>
      <c r="AO29" s="171">
        <v>700</v>
      </c>
      <c r="AP29" s="171">
        <f>AO29*AI29/2</f>
        <v>0</v>
      </c>
      <c r="AQ29" s="171">
        <f>AH29*AO29+AP29</f>
        <v>19600</v>
      </c>
      <c r="AR29" s="168">
        <f>AJ30/8*AO29</f>
        <v>6125</v>
      </c>
      <c r="AS29" s="168">
        <f t="shared" ref="AS29:AS35" si="1">AQ29+AR29</f>
        <v>25725</v>
      </c>
      <c r="AU29" s="46"/>
    </row>
    <row r="30" spans="1:47" x14ac:dyDescent="0.25">
      <c r="A30" s="132"/>
      <c r="B30" s="177"/>
      <c r="C30" s="9">
        <v>2</v>
      </c>
      <c r="D30" s="9">
        <v>1</v>
      </c>
      <c r="E30" s="9"/>
      <c r="F30" s="9">
        <v>2</v>
      </c>
      <c r="G30" s="9">
        <v>2</v>
      </c>
      <c r="H30" s="9"/>
      <c r="I30" s="9">
        <v>4</v>
      </c>
      <c r="J30" s="9">
        <v>5</v>
      </c>
      <c r="K30" s="9">
        <v>3</v>
      </c>
      <c r="L30" s="9">
        <v>5</v>
      </c>
      <c r="M30" s="9">
        <v>2</v>
      </c>
      <c r="N30" s="9">
        <v>4</v>
      </c>
      <c r="O30" s="9">
        <v>1</v>
      </c>
      <c r="P30" s="9"/>
      <c r="Q30" s="9"/>
      <c r="R30" s="9">
        <v>2</v>
      </c>
      <c r="S30" s="9">
        <v>4</v>
      </c>
      <c r="T30" s="9">
        <v>2</v>
      </c>
      <c r="U30" s="9"/>
      <c r="V30" s="9"/>
      <c r="W30" s="9">
        <v>3</v>
      </c>
      <c r="X30" s="9">
        <v>3</v>
      </c>
      <c r="Y30" s="9">
        <v>3</v>
      </c>
      <c r="Z30" s="9">
        <v>5</v>
      </c>
      <c r="AA30" s="9">
        <v>3</v>
      </c>
      <c r="AB30" s="9">
        <v>5</v>
      </c>
      <c r="AC30" s="9">
        <v>4</v>
      </c>
      <c r="AD30" s="9">
        <v>3</v>
      </c>
      <c r="AE30" s="9">
        <v>2</v>
      </c>
      <c r="AF30" s="9"/>
      <c r="AG30" s="9"/>
      <c r="AH30" s="135"/>
      <c r="AI30" s="135"/>
      <c r="AJ30" s="15">
        <f>SUM(C30:AG30)</f>
        <v>70</v>
      </c>
      <c r="AK30" s="172"/>
      <c r="AL30" s="172"/>
      <c r="AM30" s="172"/>
      <c r="AN30" s="172"/>
      <c r="AO30" s="172"/>
      <c r="AP30" s="172"/>
      <c r="AQ30" s="172"/>
      <c r="AR30" s="169"/>
      <c r="AS30" s="169"/>
      <c r="AU30" s="46"/>
    </row>
    <row r="31" spans="1:47" x14ac:dyDescent="0.25">
      <c r="A31" s="133"/>
      <c r="B31" s="178"/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36"/>
      <c r="AI31" s="136"/>
      <c r="AJ31" s="16"/>
      <c r="AK31" s="173"/>
      <c r="AL31" s="173"/>
      <c r="AM31" s="173"/>
      <c r="AN31" s="173"/>
      <c r="AO31" s="173"/>
      <c r="AP31" s="173"/>
      <c r="AQ31" s="173"/>
      <c r="AR31" s="170"/>
      <c r="AS31" s="170"/>
      <c r="AU31" s="46"/>
    </row>
    <row r="32" spans="1:47" x14ac:dyDescent="0.25">
      <c r="A32" s="131">
        <v>10</v>
      </c>
      <c r="B32" s="176" t="s">
        <v>70</v>
      </c>
      <c r="C32" s="1" t="s">
        <v>41</v>
      </c>
      <c r="D32" s="1" t="s">
        <v>41</v>
      </c>
      <c r="E32" s="1" t="s">
        <v>41</v>
      </c>
      <c r="F32" s="1" t="s">
        <v>41</v>
      </c>
      <c r="G32" s="1" t="s">
        <v>41</v>
      </c>
      <c r="H32" s="1" t="s">
        <v>41</v>
      </c>
      <c r="I32" s="1" t="s">
        <v>41</v>
      </c>
      <c r="J32" s="1" t="s">
        <v>41</v>
      </c>
      <c r="K32" s="1" t="s">
        <v>41</v>
      </c>
      <c r="L32" s="1" t="s">
        <v>41</v>
      </c>
      <c r="M32" s="1" t="s">
        <v>41</v>
      </c>
      <c r="N32" s="1" t="s">
        <v>41</v>
      </c>
      <c r="O32" s="1" t="s">
        <v>41</v>
      </c>
      <c r="P32" s="1" t="s">
        <v>41</v>
      </c>
      <c r="Q32" s="1" t="s">
        <v>52</v>
      </c>
      <c r="R32" s="1" t="s">
        <v>41</v>
      </c>
      <c r="S32" s="1" t="s">
        <v>41</v>
      </c>
      <c r="T32" s="1" t="s">
        <v>41</v>
      </c>
      <c r="U32" s="1" t="s">
        <v>41</v>
      </c>
      <c r="V32" s="1" t="s">
        <v>41</v>
      </c>
      <c r="W32" s="1" t="s">
        <v>41</v>
      </c>
      <c r="X32" s="1" t="s">
        <v>41</v>
      </c>
      <c r="Y32" s="1" t="s">
        <v>41</v>
      </c>
      <c r="Z32" s="1" t="s">
        <v>41</v>
      </c>
      <c r="AA32" s="1" t="s">
        <v>41</v>
      </c>
      <c r="AB32" s="1" t="s">
        <v>41</v>
      </c>
      <c r="AC32" s="1" t="s">
        <v>41</v>
      </c>
      <c r="AD32" s="1" t="s">
        <v>41</v>
      </c>
      <c r="AE32" s="1" t="s">
        <v>41</v>
      </c>
      <c r="AF32" s="1" t="s">
        <v>41</v>
      </c>
      <c r="AG32" s="1" t="s">
        <v>52</v>
      </c>
      <c r="AH32" s="134">
        <f>COUNTIF(C32:AG32,"P")</f>
        <v>29</v>
      </c>
      <c r="AI32" s="134">
        <f>COUNTIF(D32:AH32,"P/2")</f>
        <v>0</v>
      </c>
      <c r="AJ32" s="15"/>
      <c r="AK32" s="171">
        <f>COUNTIF(C34:AG34,"BAAS")</f>
        <v>0</v>
      </c>
      <c r="AL32" s="171">
        <f>COUNTIF(D34:AH34,"RCML")</f>
        <v>0</v>
      </c>
      <c r="AM32" s="171">
        <f>COUNTIF(E34:AJ34,"PRE")</f>
        <v>0</v>
      </c>
      <c r="AN32" s="171">
        <f>COUNTIF(F34:AK34,"BAKR")</f>
        <v>0</v>
      </c>
      <c r="AO32" s="171">
        <v>600</v>
      </c>
      <c r="AP32" s="171">
        <f>AO32*AI32/2</f>
        <v>0</v>
      </c>
      <c r="AQ32" s="171">
        <f>AH32*AO32+AP32</f>
        <v>17400</v>
      </c>
      <c r="AR32" s="168">
        <f>AJ33/8*AO32</f>
        <v>4875</v>
      </c>
      <c r="AS32" s="168">
        <f t="shared" si="1"/>
        <v>22275</v>
      </c>
      <c r="AU32" s="46"/>
    </row>
    <row r="33" spans="1:48" x14ac:dyDescent="0.25">
      <c r="A33" s="132"/>
      <c r="B33" s="177"/>
      <c r="C33" s="9">
        <v>5</v>
      </c>
      <c r="D33" s="9">
        <v>1</v>
      </c>
      <c r="E33" s="9"/>
      <c r="F33" s="9">
        <v>2</v>
      </c>
      <c r="G33" s="9">
        <v>1</v>
      </c>
      <c r="H33" s="9"/>
      <c r="I33" s="9">
        <v>4</v>
      </c>
      <c r="J33" s="9">
        <v>5</v>
      </c>
      <c r="K33" s="9">
        <v>6</v>
      </c>
      <c r="L33" s="9">
        <v>4</v>
      </c>
      <c r="M33" s="9">
        <v>2</v>
      </c>
      <c r="N33" s="9">
        <v>3</v>
      </c>
      <c r="O33" s="9">
        <v>4</v>
      </c>
      <c r="P33" s="9">
        <v>3</v>
      </c>
      <c r="Q33" s="9"/>
      <c r="R33" s="9">
        <v>2</v>
      </c>
      <c r="S33" s="9"/>
      <c r="T33" s="9">
        <v>3</v>
      </c>
      <c r="U33" s="9"/>
      <c r="V33" s="9">
        <v>2</v>
      </c>
      <c r="W33" s="9"/>
      <c r="X33" s="9">
        <v>4</v>
      </c>
      <c r="Y33" s="9">
        <v>1</v>
      </c>
      <c r="Z33" s="9">
        <v>2</v>
      </c>
      <c r="AA33" s="9">
        <v>1</v>
      </c>
      <c r="AB33" s="9">
        <v>3</v>
      </c>
      <c r="AC33" s="9"/>
      <c r="AD33" s="9">
        <v>7</v>
      </c>
      <c r="AE33" s="9"/>
      <c r="AF33" s="9"/>
      <c r="AG33" s="9"/>
      <c r="AH33" s="135"/>
      <c r="AI33" s="135"/>
      <c r="AJ33" s="27">
        <f>SUM(C33:AG33)</f>
        <v>65</v>
      </c>
      <c r="AK33" s="172"/>
      <c r="AL33" s="172"/>
      <c r="AM33" s="172"/>
      <c r="AN33" s="172"/>
      <c r="AO33" s="172"/>
      <c r="AP33" s="172"/>
      <c r="AQ33" s="172"/>
      <c r="AR33" s="169"/>
      <c r="AS33" s="169"/>
      <c r="AU33" s="46"/>
    </row>
    <row r="34" spans="1:48" x14ac:dyDescent="0.25">
      <c r="A34" s="133"/>
      <c r="B34" s="178"/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36"/>
      <c r="AI34" s="136"/>
      <c r="AJ34" s="16"/>
      <c r="AK34" s="173"/>
      <c r="AL34" s="173"/>
      <c r="AM34" s="173"/>
      <c r="AN34" s="173"/>
      <c r="AO34" s="173"/>
      <c r="AP34" s="173"/>
      <c r="AQ34" s="173"/>
      <c r="AR34" s="170"/>
      <c r="AS34" s="170"/>
      <c r="AU34" s="46"/>
    </row>
    <row r="35" spans="1:48" x14ac:dyDescent="0.25">
      <c r="A35" s="131">
        <v>11</v>
      </c>
      <c r="B35" s="176" t="s">
        <v>72</v>
      </c>
      <c r="C35" s="35" t="s">
        <v>41</v>
      </c>
      <c r="D35" s="35" t="s">
        <v>41</v>
      </c>
      <c r="E35" s="35" t="s">
        <v>41</v>
      </c>
      <c r="F35" s="35" t="s">
        <v>41</v>
      </c>
      <c r="G35" s="35" t="s">
        <v>41</v>
      </c>
      <c r="H35" s="35" t="s">
        <v>41</v>
      </c>
      <c r="I35" s="1" t="s">
        <v>41</v>
      </c>
      <c r="J35" s="1" t="s">
        <v>41</v>
      </c>
      <c r="K35" s="1" t="s">
        <v>41</v>
      </c>
      <c r="L35" s="1" t="s">
        <v>41</v>
      </c>
      <c r="M35" s="1" t="s">
        <v>41</v>
      </c>
      <c r="N35" s="1" t="s">
        <v>41</v>
      </c>
      <c r="O35" s="1" t="s">
        <v>41</v>
      </c>
      <c r="P35" s="1" t="s">
        <v>41</v>
      </c>
      <c r="Q35" s="1" t="s">
        <v>41</v>
      </c>
      <c r="R35" s="1" t="s">
        <v>41</v>
      </c>
      <c r="S35" s="1" t="s">
        <v>41</v>
      </c>
      <c r="T35" s="1" t="s">
        <v>41</v>
      </c>
      <c r="U35" s="1" t="s">
        <v>41</v>
      </c>
      <c r="V35" s="1" t="s">
        <v>41</v>
      </c>
      <c r="W35" s="1" t="s">
        <v>41</v>
      </c>
      <c r="X35" s="1" t="s">
        <v>41</v>
      </c>
      <c r="Y35" s="1" t="s">
        <v>41</v>
      </c>
      <c r="Z35" s="1" t="s">
        <v>41</v>
      </c>
      <c r="AA35" s="1" t="s">
        <v>41</v>
      </c>
      <c r="AB35" s="1" t="s">
        <v>41</v>
      </c>
      <c r="AC35" s="1" t="s">
        <v>41</v>
      </c>
      <c r="AD35" s="1" t="s">
        <v>41</v>
      </c>
      <c r="AE35" s="1" t="s">
        <v>41</v>
      </c>
      <c r="AF35" s="1" t="s">
        <v>41</v>
      </c>
      <c r="AG35" s="1" t="s">
        <v>52</v>
      </c>
      <c r="AH35" s="134">
        <f>COUNTIF(C35:AG35,"P")</f>
        <v>30</v>
      </c>
      <c r="AI35" s="134">
        <f>COUNTIF(D35:AH35,"P/2")</f>
        <v>0</v>
      </c>
      <c r="AJ35" s="15"/>
      <c r="AK35" s="171">
        <f>COUNTIF(C37:AG37,"BAAS")</f>
        <v>0</v>
      </c>
      <c r="AL35" s="171">
        <f>COUNTIF(D37:AH37,"RCML")</f>
        <v>0</v>
      </c>
      <c r="AM35" s="171">
        <f>COUNTIF(E37:AJ37,"PRE")</f>
        <v>0</v>
      </c>
      <c r="AN35" s="171">
        <f>COUNTIF(F37:AK37,"BAKR")</f>
        <v>0</v>
      </c>
      <c r="AO35" s="171">
        <v>700</v>
      </c>
      <c r="AP35" s="171">
        <f>AO35*AI35/2</f>
        <v>0</v>
      </c>
      <c r="AQ35" s="171">
        <f>AH35*AO35+AP35</f>
        <v>21000</v>
      </c>
      <c r="AR35" s="168">
        <f>AJ36/8*AO35</f>
        <v>7612.5</v>
      </c>
      <c r="AS35" s="168">
        <f t="shared" si="1"/>
        <v>28612.5</v>
      </c>
      <c r="AU35" s="46"/>
    </row>
    <row r="36" spans="1:48" x14ac:dyDescent="0.25">
      <c r="A36" s="132"/>
      <c r="B36" s="177"/>
      <c r="C36" s="9"/>
      <c r="D36" s="9"/>
      <c r="E36" s="9"/>
      <c r="F36" s="9"/>
      <c r="G36" s="9"/>
      <c r="H36" s="9"/>
      <c r="I36" s="9">
        <v>4</v>
      </c>
      <c r="J36" s="9">
        <v>6</v>
      </c>
      <c r="K36" s="9">
        <v>6</v>
      </c>
      <c r="L36" s="9">
        <v>5</v>
      </c>
      <c r="M36" s="9">
        <v>2</v>
      </c>
      <c r="N36" s="9">
        <v>7</v>
      </c>
      <c r="O36" s="9">
        <v>6</v>
      </c>
      <c r="P36" s="9">
        <v>3</v>
      </c>
      <c r="Q36" s="9"/>
      <c r="R36" s="9">
        <v>2</v>
      </c>
      <c r="S36" s="9"/>
      <c r="T36" s="9">
        <v>3</v>
      </c>
      <c r="U36" s="9"/>
      <c r="V36" s="9">
        <v>7</v>
      </c>
      <c r="W36" s="9">
        <v>4</v>
      </c>
      <c r="X36" s="9"/>
      <c r="Y36" s="9">
        <v>3</v>
      </c>
      <c r="Z36" s="9">
        <v>5</v>
      </c>
      <c r="AA36" s="9">
        <v>3</v>
      </c>
      <c r="AB36" s="9">
        <v>5</v>
      </c>
      <c r="AC36" s="9">
        <v>8</v>
      </c>
      <c r="AD36" s="9">
        <v>8</v>
      </c>
      <c r="AE36" s="9"/>
      <c r="AF36" s="9"/>
      <c r="AG36" s="9"/>
      <c r="AH36" s="135"/>
      <c r="AI36" s="135"/>
      <c r="AJ36" s="15">
        <f>SUM(C36:AG36)</f>
        <v>87</v>
      </c>
      <c r="AK36" s="172"/>
      <c r="AL36" s="172"/>
      <c r="AM36" s="172"/>
      <c r="AN36" s="172"/>
      <c r="AO36" s="172"/>
      <c r="AP36" s="172"/>
      <c r="AQ36" s="172"/>
      <c r="AR36" s="169"/>
      <c r="AS36" s="169"/>
      <c r="AU36" s="46"/>
    </row>
    <row r="37" spans="1:48" x14ac:dyDescent="0.25">
      <c r="A37" s="133"/>
      <c r="B37" s="178"/>
      <c r="C37" s="10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36"/>
      <c r="AI37" s="136"/>
      <c r="AJ37" s="16"/>
      <c r="AK37" s="173"/>
      <c r="AL37" s="173"/>
      <c r="AM37" s="173"/>
      <c r="AN37" s="173"/>
      <c r="AO37" s="173"/>
      <c r="AP37" s="173"/>
      <c r="AQ37" s="173"/>
      <c r="AR37" s="170"/>
      <c r="AS37" s="170"/>
      <c r="AU37" s="46"/>
    </row>
    <row r="38" spans="1:48" x14ac:dyDescent="0.25">
      <c r="A38" s="131">
        <v>12</v>
      </c>
      <c r="B38" s="176" t="s">
        <v>97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1" t="s">
        <v>41</v>
      </c>
      <c r="S38" s="1" t="s">
        <v>56</v>
      </c>
      <c r="T38" s="1" t="s">
        <v>41</v>
      </c>
      <c r="U38" s="1" t="s">
        <v>41</v>
      </c>
      <c r="V38" s="1" t="s">
        <v>41</v>
      </c>
      <c r="W38" s="1" t="s">
        <v>41</v>
      </c>
      <c r="X38" s="1" t="s">
        <v>41</v>
      </c>
      <c r="Y38" s="1" t="s">
        <v>41</v>
      </c>
      <c r="Z38" s="1" t="s">
        <v>41</v>
      </c>
      <c r="AA38" s="1" t="s">
        <v>41</v>
      </c>
      <c r="AB38" s="1" t="s">
        <v>41</v>
      </c>
      <c r="AC38" s="1" t="s">
        <v>41</v>
      </c>
      <c r="AD38" s="1" t="s">
        <v>41</v>
      </c>
      <c r="AE38" s="1" t="s">
        <v>41</v>
      </c>
      <c r="AF38" s="1" t="s">
        <v>41</v>
      </c>
      <c r="AG38" s="1" t="s">
        <v>52</v>
      </c>
      <c r="AH38" s="134">
        <f>COUNTIF(C38:AG38,"P")</f>
        <v>14</v>
      </c>
      <c r="AI38" s="134">
        <f>COUNTIF(D38:AH38,"P/2")</f>
        <v>1</v>
      </c>
      <c r="AJ38" s="15"/>
      <c r="AK38" s="171">
        <f>COUNTIF(C40:AG40,"BAAS")</f>
        <v>0</v>
      </c>
      <c r="AL38" s="171">
        <f>COUNTIF(D40:AH40,"RCML")</f>
        <v>0</v>
      </c>
      <c r="AM38" s="171">
        <f>COUNTIF(E40:AJ40,"PRE")</f>
        <v>0</v>
      </c>
      <c r="AN38" s="171">
        <f>COUNTIF(F40:AK40,"BAKR")</f>
        <v>0</v>
      </c>
      <c r="AO38" s="171">
        <v>800</v>
      </c>
      <c r="AP38" s="171">
        <f>AO38*AI38/2</f>
        <v>400</v>
      </c>
      <c r="AQ38" s="171">
        <f>AH38*AO38+AP38</f>
        <v>11600</v>
      </c>
      <c r="AR38" s="168">
        <f>AJ39/8*AO38</f>
        <v>2200</v>
      </c>
      <c r="AS38" s="168">
        <f>AQ38+AR38</f>
        <v>13800</v>
      </c>
      <c r="AU38" s="46"/>
    </row>
    <row r="39" spans="1:48" x14ac:dyDescent="0.25">
      <c r="A39" s="132"/>
      <c r="B39" s="177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>
        <v>3</v>
      </c>
      <c r="V39" s="9">
        <v>2</v>
      </c>
      <c r="W39" s="9">
        <v>1</v>
      </c>
      <c r="X39" s="9">
        <v>1</v>
      </c>
      <c r="Y39" s="9">
        <v>1</v>
      </c>
      <c r="Z39" s="9">
        <v>2</v>
      </c>
      <c r="AA39" s="9">
        <v>3</v>
      </c>
      <c r="AB39" s="9">
        <v>1</v>
      </c>
      <c r="AC39" s="9">
        <v>2</v>
      </c>
      <c r="AD39" s="9">
        <v>4</v>
      </c>
      <c r="AE39" s="9">
        <v>2</v>
      </c>
      <c r="AF39" s="9"/>
      <c r="AG39" s="9"/>
      <c r="AH39" s="135"/>
      <c r="AI39" s="135"/>
      <c r="AJ39" s="15">
        <f>SUM(C39:AG39)</f>
        <v>22</v>
      </c>
      <c r="AK39" s="172"/>
      <c r="AL39" s="172"/>
      <c r="AM39" s="172"/>
      <c r="AN39" s="172"/>
      <c r="AO39" s="172"/>
      <c r="AP39" s="172"/>
      <c r="AQ39" s="172"/>
      <c r="AR39" s="169"/>
      <c r="AS39" s="169"/>
      <c r="AU39" s="46"/>
    </row>
    <row r="40" spans="1:48" x14ac:dyDescent="0.25">
      <c r="A40" s="133"/>
      <c r="B40" s="178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36"/>
      <c r="AI40" s="136"/>
      <c r="AJ40" s="16"/>
      <c r="AK40" s="173"/>
      <c r="AL40" s="173"/>
      <c r="AM40" s="173"/>
      <c r="AN40" s="173"/>
      <c r="AO40" s="173"/>
      <c r="AP40" s="173"/>
      <c r="AQ40" s="173"/>
      <c r="AR40" s="170"/>
      <c r="AS40" s="170"/>
      <c r="AU40" s="46"/>
    </row>
    <row r="41" spans="1:48" x14ac:dyDescent="0.25">
      <c r="A41" s="131">
        <v>13</v>
      </c>
      <c r="B41" s="176" t="s">
        <v>101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1" t="s">
        <v>41</v>
      </c>
      <c r="T41" s="1" t="s">
        <v>41</v>
      </c>
      <c r="U41" s="1" t="s">
        <v>41</v>
      </c>
      <c r="V41" s="1" t="s">
        <v>41</v>
      </c>
      <c r="W41" s="1" t="s">
        <v>41</v>
      </c>
      <c r="X41" s="1" t="s">
        <v>41</v>
      </c>
      <c r="Y41" s="1" t="s">
        <v>41</v>
      </c>
      <c r="Z41" s="1" t="s">
        <v>41</v>
      </c>
      <c r="AA41" s="1" t="s">
        <v>41</v>
      </c>
      <c r="AB41" s="1" t="s">
        <v>41</v>
      </c>
      <c r="AC41" s="1" t="s">
        <v>41</v>
      </c>
      <c r="AD41" s="1" t="s">
        <v>41</v>
      </c>
      <c r="AE41" s="1" t="s">
        <v>41</v>
      </c>
      <c r="AF41" s="1" t="s">
        <v>41</v>
      </c>
      <c r="AG41" s="1" t="s">
        <v>52</v>
      </c>
      <c r="AH41" s="134">
        <f>COUNTIF(C41:AG41,"P")</f>
        <v>14</v>
      </c>
      <c r="AI41" s="134">
        <f>COUNTIF(D41:AH41,"P/2")</f>
        <v>0</v>
      </c>
      <c r="AJ41" s="15"/>
      <c r="AK41" s="171">
        <f>COUNTIF(C43:AG43,"BAAS")</f>
        <v>0</v>
      </c>
      <c r="AL41" s="171">
        <f>COUNTIF(D43:AH43,"RCML")</f>
        <v>0</v>
      </c>
      <c r="AM41" s="171">
        <f>COUNTIF(E43:AJ43,"PRE")</f>
        <v>0</v>
      </c>
      <c r="AN41" s="171">
        <f>COUNTIF(F43:AK43,"BAKR")</f>
        <v>0</v>
      </c>
      <c r="AO41" s="171">
        <v>700</v>
      </c>
      <c r="AP41" s="171">
        <f>AO41*AI41/2</f>
        <v>0</v>
      </c>
      <c r="AQ41" s="171">
        <f>AH41*AO41+AP41</f>
        <v>9800</v>
      </c>
      <c r="AR41" s="168">
        <f>AJ42/8*AO41</f>
        <v>2712.5</v>
      </c>
      <c r="AS41" s="168">
        <f>AQ41+AR41</f>
        <v>12512.5</v>
      </c>
      <c r="AU41" s="46"/>
    </row>
    <row r="42" spans="1:48" x14ac:dyDescent="0.25">
      <c r="A42" s="132"/>
      <c r="B42" s="177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>
        <v>3</v>
      </c>
      <c r="T42" s="9">
        <v>1</v>
      </c>
      <c r="U42" s="9"/>
      <c r="V42" s="9">
        <v>2</v>
      </c>
      <c r="W42" s="9">
        <v>4</v>
      </c>
      <c r="X42" s="9">
        <v>4</v>
      </c>
      <c r="Y42" s="9">
        <v>5</v>
      </c>
      <c r="Z42" s="9">
        <v>3</v>
      </c>
      <c r="AA42" s="9">
        <v>1</v>
      </c>
      <c r="AB42" s="9">
        <v>4</v>
      </c>
      <c r="AC42" s="9"/>
      <c r="AD42" s="9">
        <v>4</v>
      </c>
      <c r="AE42" s="9"/>
      <c r="AF42" s="9"/>
      <c r="AG42" s="9"/>
      <c r="AH42" s="135"/>
      <c r="AI42" s="135"/>
      <c r="AJ42" s="15">
        <f>SUM(C42:AG42)</f>
        <v>31</v>
      </c>
      <c r="AK42" s="172"/>
      <c r="AL42" s="172"/>
      <c r="AM42" s="172"/>
      <c r="AN42" s="172"/>
      <c r="AO42" s="172"/>
      <c r="AP42" s="172"/>
      <c r="AQ42" s="172"/>
      <c r="AR42" s="169"/>
      <c r="AS42" s="169"/>
      <c r="AU42" s="46"/>
    </row>
    <row r="43" spans="1:48" x14ac:dyDescent="0.25">
      <c r="A43" s="133"/>
      <c r="B43" s="178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36"/>
      <c r="AI43" s="136"/>
      <c r="AJ43" s="16"/>
      <c r="AK43" s="173"/>
      <c r="AL43" s="173"/>
      <c r="AM43" s="173"/>
      <c r="AN43" s="173"/>
      <c r="AO43" s="173"/>
      <c r="AP43" s="173"/>
      <c r="AQ43" s="173"/>
      <c r="AR43" s="170"/>
      <c r="AS43" s="170"/>
      <c r="AU43" s="46"/>
    </row>
    <row r="44" spans="1:48" x14ac:dyDescent="0.25">
      <c r="A44" s="131">
        <v>14</v>
      </c>
      <c r="B44" s="176" t="s">
        <v>76</v>
      </c>
      <c r="C44" s="1" t="s">
        <v>41</v>
      </c>
      <c r="D44" s="1" t="s">
        <v>41</v>
      </c>
      <c r="E44" s="1" t="s">
        <v>41</v>
      </c>
      <c r="F44" s="1" t="s">
        <v>41</v>
      </c>
      <c r="G44" s="1" t="s">
        <v>41</v>
      </c>
      <c r="H44" s="1" t="s">
        <v>41</v>
      </c>
      <c r="I44" s="1" t="s">
        <v>41</v>
      </c>
      <c r="J44" s="1" t="s">
        <v>41</v>
      </c>
      <c r="K44" s="1" t="s">
        <v>41</v>
      </c>
      <c r="L44" s="1" t="s">
        <v>41</v>
      </c>
      <c r="M44" s="1" t="s">
        <v>41</v>
      </c>
      <c r="N44" s="1" t="s">
        <v>41</v>
      </c>
      <c r="O44" s="1" t="s">
        <v>41</v>
      </c>
      <c r="P44" s="1" t="s">
        <v>41</v>
      </c>
      <c r="Q44" s="1" t="s">
        <v>56</v>
      </c>
      <c r="R44" s="1" t="s">
        <v>41</v>
      </c>
      <c r="S44" s="1" t="s">
        <v>41</v>
      </c>
      <c r="T44" s="1" t="s">
        <v>41</v>
      </c>
      <c r="U44" s="1" t="s">
        <v>41</v>
      </c>
      <c r="V44" s="1" t="s">
        <v>41</v>
      </c>
      <c r="W44" s="1" t="s">
        <v>41</v>
      </c>
      <c r="X44" s="1" t="s">
        <v>41</v>
      </c>
      <c r="Y44" s="1" t="s">
        <v>41</v>
      </c>
      <c r="Z44" s="1" t="s">
        <v>41</v>
      </c>
      <c r="AA44" s="1" t="s">
        <v>52</v>
      </c>
      <c r="AB44" s="1" t="s">
        <v>41</v>
      </c>
      <c r="AC44" s="1" t="s">
        <v>41</v>
      </c>
      <c r="AD44" s="1" t="s">
        <v>41</v>
      </c>
      <c r="AE44" s="1" t="s">
        <v>52</v>
      </c>
      <c r="AF44" s="1" t="s">
        <v>41</v>
      </c>
      <c r="AG44" s="1" t="s">
        <v>52</v>
      </c>
      <c r="AH44" s="134">
        <f>COUNTIF(C44:AG44,"P")</f>
        <v>27</v>
      </c>
      <c r="AI44" s="134">
        <f>COUNTIF(D44:AH44,"P/2")</f>
        <v>1</v>
      </c>
      <c r="AJ44" s="15"/>
      <c r="AK44" s="171">
        <f>COUNTIF(C46:AG46,"BAAS")</f>
        <v>0</v>
      </c>
      <c r="AL44" s="171">
        <f>COUNTIF(D46:AH46,"RCML")</f>
        <v>0</v>
      </c>
      <c r="AM44" s="171">
        <f>COUNTIF(E46:AJ46,"PRE")</f>
        <v>0</v>
      </c>
      <c r="AN44" s="171">
        <f>COUNTIF(F46:AK46,"BAKR")</f>
        <v>0</v>
      </c>
      <c r="AO44" s="171">
        <v>700</v>
      </c>
      <c r="AP44" s="171">
        <f>AO44*AI44/2</f>
        <v>350</v>
      </c>
      <c r="AQ44" s="171">
        <f>AH44*AO44+AP44</f>
        <v>19250</v>
      </c>
      <c r="AR44" s="168">
        <f>AJ45/8*AO44</f>
        <v>7437.5</v>
      </c>
      <c r="AS44" s="168">
        <f>AQ44+AR44</f>
        <v>26687.5</v>
      </c>
      <c r="AU44" s="46"/>
    </row>
    <row r="45" spans="1:48" x14ac:dyDescent="0.25">
      <c r="A45" s="132"/>
      <c r="B45" s="177"/>
      <c r="C45" s="9">
        <v>5</v>
      </c>
      <c r="D45" s="9">
        <v>4</v>
      </c>
      <c r="E45" s="9">
        <v>1</v>
      </c>
      <c r="F45" s="9">
        <v>3</v>
      </c>
      <c r="G45" s="9">
        <v>3</v>
      </c>
      <c r="H45" s="9"/>
      <c r="I45" s="9">
        <v>4</v>
      </c>
      <c r="J45" s="9">
        <v>6</v>
      </c>
      <c r="K45" s="9">
        <v>6</v>
      </c>
      <c r="L45" s="9">
        <v>5</v>
      </c>
      <c r="M45" s="9">
        <v>2</v>
      </c>
      <c r="N45" s="9">
        <v>5</v>
      </c>
      <c r="O45" s="9">
        <v>3</v>
      </c>
      <c r="P45" s="9">
        <v>3</v>
      </c>
      <c r="Q45" s="9"/>
      <c r="R45" s="9">
        <v>4</v>
      </c>
      <c r="S45" s="9"/>
      <c r="T45" s="9">
        <v>3</v>
      </c>
      <c r="U45" s="9"/>
      <c r="V45" s="9">
        <v>3</v>
      </c>
      <c r="W45" s="9">
        <v>3</v>
      </c>
      <c r="X45" s="9">
        <v>4</v>
      </c>
      <c r="Y45" s="9">
        <v>2</v>
      </c>
      <c r="Z45" s="9">
        <v>2</v>
      </c>
      <c r="AA45" s="9"/>
      <c r="AB45" s="9">
        <v>6</v>
      </c>
      <c r="AC45" s="9">
        <v>4</v>
      </c>
      <c r="AD45" s="9">
        <v>4</v>
      </c>
      <c r="AE45" s="9"/>
      <c r="AF45" s="9"/>
      <c r="AG45" s="9"/>
      <c r="AH45" s="135"/>
      <c r="AI45" s="135"/>
      <c r="AJ45" s="15">
        <f>SUM(C45:AG45)</f>
        <v>85</v>
      </c>
      <c r="AK45" s="172"/>
      <c r="AL45" s="172"/>
      <c r="AM45" s="172"/>
      <c r="AN45" s="172"/>
      <c r="AO45" s="172"/>
      <c r="AP45" s="172"/>
      <c r="AQ45" s="172"/>
      <c r="AR45" s="169"/>
      <c r="AS45" s="169"/>
      <c r="AT45">
        <v>27475</v>
      </c>
      <c r="AU45" s="46"/>
      <c r="AV45">
        <v>788</v>
      </c>
    </row>
    <row r="46" spans="1:48" x14ac:dyDescent="0.25">
      <c r="A46" s="133"/>
      <c r="B46" s="178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36"/>
      <c r="AI46" s="136"/>
      <c r="AJ46" s="16"/>
      <c r="AK46" s="173"/>
      <c r="AL46" s="173"/>
      <c r="AM46" s="173"/>
      <c r="AN46" s="173"/>
      <c r="AO46" s="173"/>
      <c r="AP46" s="173"/>
      <c r="AQ46" s="173"/>
      <c r="AR46" s="170"/>
      <c r="AS46" s="170"/>
      <c r="AU46" s="46"/>
    </row>
    <row r="47" spans="1:48" x14ac:dyDescent="0.25">
      <c r="A47" s="131">
        <v>15</v>
      </c>
      <c r="B47" s="176" t="s">
        <v>100</v>
      </c>
      <c r="C47" s="1" t="s">
        <v>41</v>
      </c>
      <c r="D47" s="1" t="s">
        <v>41</v>
      </c>
      <c r="E47" s="1" t="s">
        <v>41</v>
      </c>
      <c r="F47" s="1" t="s">
        <v>41</v>
      </c>
      <c r="G47" s="1" t="s">
        <v>41</v>
      </c>
      <c r="H47" s="1" t="s">
        <v>41</v>
      </c>
      <c r="I47" s="1" t="s">
        <v>41</v>
      </c>
      <c r="J47" s="1" t="s">
        <v>41</v>
      </c>
      <c r="K47" s="1" t="s">
        <v>41</v>
      </c>
      <c r="L47" s="1" t="s">
        <v>41</v>
      </c>
      <c r="M47" s="1" t="s">
        <v>41</v>
      </c>
      <c r="N47" s="1" t="s">
        <v>41</v>
      </c>
      <c r="O47" s="1" t="s">
        <v>41</v>
      </c>
      <c r="P47" s="1" t="s">
        <v>41</v>
      </c>
      <c r="Q47" s="1" t="s">
        <v>56</v>
      </c>
      <c r="R47" s="1" t="s">
        <v>41</v>
      </c>
      <c r="S47" s="1" t="s">
        <v>41</v>
      </c>
      <c r="T47" s="1" t="s">
        <v>41</v>
      </c>
      <c r="U47" s="1" t="s">
        <v>41</v>
      </c>
      <c r="V47" s="1" t="s">
        <v>41</v>
      </c>
      <c r="W47" s="1" t="s">
        <v>41</v>
      </c>
      <c r="X47" s="1" t="s">
        <v>41</v>
      </c>
      <c r="Y47" s="1" t="s">
        <v>41</v>
      </c>
      <c r="Z47" s="1" t="s">
        <v>41</v>
      </c>
      <c r="AA47" s="1" t="s">
        <v>41</v>
      </c>
      <c r="AB47" s="1" t="s">
        <v>41</v>
      </c>
      <c r="AC47" s="1" t="s">
        <v>41</v>
      </c>
      <c r="AD47" s="1" t="s">
        <v>41</v>
      </c>
      <c r="AE47" s="1" t="s">
        <v>41</v>
      </c>
      <c r="AF47" s="1" t="s">
        <v>41</v>
      </c>
      <c r="AG47" s="1" t="s">
        <v>52</v>
      </c>
      <c r="AH47" s="134">
        <f>COUNTIF(C47:AG47,"P")</f>
        <v>29</v>
      </c>
      <c r="AI47" s="134">
        <f>COUNTIF(D47:AH47,"P/2")</f>
        <v>1</v>
      </c>
      <c r="AJ47" s="15"/>
      <c r="AK47" s="171">
        <f>COUNTIF(C49:AG49,"BAAS")</f>
        <v>0</v>
      </c>
      <c r="AL47" s="171">
        <f>COUNTIF(D49:AH49,"RCML")</f>
        <v>0</v>
      </c>
      <c r="AM47" s="171">
        <f>COUNTIF(E49:AJ49,"PRE")</f>
        <v>0</v>
      </c>
      <c r="AN47" s="171">
        <f>COUNTIF(F49:AK49,"BAKR")</f>
        <v>0</v>
      </c>
      <c r="AO47" s="171">
        <v>800</v>
      </c>
      <c r="AP47" s="171">
        <f>AO47*AI47/2</f>
        <v>400</v>
      </c>
      <c r="AQ47" s="171">
        <f>AH47*AO47+AP47</f>
        <v>23600</v>
      </c>
      <c r="AR47" s="168">
        <f>AJ48/8*AO47</f>
        <v>7400</v>
      </c>
      <c r="AS47" s="168">
        <f>AQ47+AR47</f>
        <v>31000</v>
      </c>
      <c r="AU47" s="46"/>
    </row>
    <row r="48" spans="1:48" x14ac:dyDescent="0.25">
      <c r="A48" s="132"/>
      <c r="B48" s="177"/>
      <c r="C48" s="9">
        <v>2</v>
      </c>
      <c r="D48" s="9">
        <v>1</v>
      </c>
      <c r="E48" s="9"/>
      <c r="F48" s="9">
        <v>1</v>
      </c>
      <c r="G48" s="9">
        <v>1</v>
      </c>
      <c r="H48" s="9"/>
      <c r="I48" s="9">
        <v>4</v>
      </c>
      <c r="J48" s="9">
        <v>5</v>
      </c>
      <c r="K48" s="9">
        <v>6</v>
      </c>
      <c r="L48" s="9">
        <v>5</v>
      </c>
      <c r="M48" s="9">
        <v>2</v>
      </c>
      <c r="N48" s="9">
        <v>6</v>
      </c>
      <c r="O48" s="9">
        <v>3</v>
      </c>
      <c r="P48" s="9">
        <v>3</v>
      </c>
      <c r="Q48" s="9"/>
      <c r="R48" s="9">
        <v>2</v>
      </c>
      <c r="S48" s="9">
        <v>5</v>
      </c>
      <c r="T48" s="9">
        <v>3</v>
      </c>
      <c r="U48" s="9"/>
      <c r="V48" s="9"/>
      <c r="W48" s="9">
        <v>3</v>
      </c>
      <c r="X48" s="9">
        <v>2</v>
      </c>
      <c r="Y48" s="9">
        <v>4</v>
      </c>
      <c r="Z48" s="9">
        <v>2</v>
      </c>
      <c r="AA48" s="9">
        <v>3</v>
      </c>
      <c r="AB48" s="9">
        <v>4</v>
      </c>
      <c r="AC48" s="9">
        <v>2</v>
      </c>
      <c r="AD48" s="9">
        <v>4</v>
      </c>
      <c r="AE48" s="9">
        <v>1</v>
      </c>
      <c r="AF48" s="9"/>
      <c r="AG48" s="9"/>
      <c r="AH48" s="135"/>
      <c r="AI48" s="135"/>
      <c r="AJ48" s="15">
        <f>SUM(C48:AG48)</f>
        <v>74</v>
      </c>
      <c r="AK48" s="172"/>
      <c r="AL48" s="172"/>
      <c r="AM48" s="172"/>
      <c r="AN48" s="172"/>
      <c r="AO48" s="172"/>
      <c r="AP48" s="172"/>
      <c r="AQ48" s="172"/>
      <c r="AR48" s="169"/>
      <c r="AS48" s="169"/>
      <c r="AU48" s="46"/>
    </row>
    <row r="49" spans="1:47" x14ac:dyDescent="0.25">
      <c r="A49" s="133"/>
      <c r="B49" s="178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36"/>
      <c r="AI49" s="136"/>
      <c r="AJ49" s="15"/>
      <c r="AK49" s="173"/>
      <c r="AL49" s="173"/>
      <c r="AM49" s="173"/>
      <c r="AN49" s="173"/>
      <c r="AO49" s="173"/>
      <c r="AP49" s="173"/>
      <c r="AQ49" s="173"/>
      <c r="AR49" s="170"/>
      <c r="AS49" s="170"/>
      <c r="AU49" s="46"/>
    </row>
    <row r="50" spans="1:47" x14ac:dyDescent="0.25">
      <c r="A50" s="131">
        <v>16</v>
      </c>
      <c r="B50" s="176" t="s">
        <v>79</v>
      </c>
      <c r="C50" s="1" t="s">
        <v>41</v>
      </c>
      <c r="D50" s="1" t="s">
        <v>41</v>
      </c>
      <c r="E50" s="1" t="s">
        <v>41</v>
      </c>
      <c r="F50" s="1" t="s">
        <v>41</v>
      </c>
      <c r="G50" s="1" t="s">
        <v>41</v>
      </c>
      <c r="H50" s="1" t="s">
        <v>41</v>
      </c>
      <c r="I50" s="1" t="s">
        <v>41</v>
      </c>
      <c r="J50" s="1" t="s">
        <v>56</v>
      </c>
      <c r="K50" s="1" t="s">
        <v>41</v>
      </c>
      <c r="L50" s="1" t="s">
        <v>41</v>
      </c>
      <c r="M50" s="1" t="s">
        <v>41</v>
      </c>
      <c r="N50" s="1" t="s">
        <v>52</v>
      </c>
      <c r="O50" s="1" t="s">
        <v>41</v>
      </c>
      <c r="P50" s="1" t="s">
        <v>41</v>
      </c>
      <c r="Q50" s="1" t="s">
        <v>41</v>
      </c>
      <c r="R50" s="1" t="s">
        <v>41</v>
      </c>
      <c r="S50" s="1" t="s">
        <v>41</v>
      </c>
      <c r="T50" s="1" t="s">
        <v>52</v>
      </c>
      <c r="U50" s="1" t="s">
        <v>41</v>
      </c>
      <c r="V50" s="1" t="s">
        <v>41</v>
      </c>
      <c r="W50" s="1" t="s">
        <v>41</v>
      </c>
      <c r="X50" s="1" t="s">
        <v>41</v>
      </c>
      <c r="Y50" s="1" t="s">
        <v>41</v>
      </c>
      <c r="Z50" s="1" t="s">
        <v>41</v>
      </c>
      <c r="AA50" s="1" t="s">
        <v>52</v>
      </c>
      <c r="AB50" s="1" t="s">
        <v>41</v>
      </c>
      <c r="AC50" s="1" t="s">
        <v>41</v>
      </c>
      <c r="AD50" s="1" t="s">
        <v>41</v>
      </c>
      <c r="AE50" s="1" t="s">
        <v>41</v>
      </c>
      <c r="AF50" s="1" t="s">
        <v>41</v>
      </c>
      <c r="AG50" s="1" t="s">
        <v>52</v>
      </c>
      <c r="AH50" s="134">
        <f>COUNTIF(C50:AG50,"P")</f>
        <v>26</v>
      </c>
      <c r="AI50" s="134">
        <f>COUNTIF(D50:AH50,"P/2")</f>
        <v>1</v>
      </c>
      <c r="AJ50" s="15"/>
      <c r="AK50" s="171">
        <f>COUNTIF(C52:AG52,"BAAS")</f>
        <v>0</v>
      </c>
      <c r="AL50" s="171">
        <f>COUNTIF(D52:AH52,"RCML")</f>
        <v>0</v>
      </c>
      <c r="AM50" s="171">
        <f>COUNTIF(E52:AJ52,"PRE")</f>
        <v>0</v>
      </c>
      <c r="AN50" s="171">
        <f>COUNTIF(F52:AK52,"BAKR")</f>
        <v>0</v>
      </c>
      <c r="AO50" s="171">
        <v>700</v>
      </c>
      <c r="AP50" s="171">
        <f>AO50*AI50/2</f>
        <v>350</v>
      </c>
      <c r="AQ50" s="171">
        <f>AH50*AO50+AP50</f>
        <v>18550</v>
      </c>
      <c r="AR50" s="168">
        <f>AJ51/8*AO50</f>
        <v>4287.5</v>
      </c>
      <c r="AS50" s="168">
        <f>AQ50+AR50</f>
        <v>22837.5</v>
      </c>
      <c r="AU50" s="46"/>
    </row>
    <row r="51" spans="1:47" x14ac:dyDescent="0.25">
      <c r="A51" s="132"/>
      <c r="B51" s="177"/>
      <c r="C51" s="9">
        <v>5</v>
      </c>
      <c r="D51" s="9">
        <v>3</v>
      </c>
      <c r="E51" s="9">
        <v>2</v>
      </c>
      <c r="F51" s="9">
        <v>4</v>
      </c>
      <c r="G51" s="9">
        <v>4</v>
      </c>
      <c r="H51" s="9"/>
      <c r="I51" s="9"/>
      <c r="J51" s="9"/>
      <c r="K51" s="9"/>
      <c r="L51" s="9">
        <v>4</v>
      </c>
      <c r="M51" s="9"/>
      <c r="N51" s="9"/>
      <c r="O51" s="9">
        <v>2</v>
      </c>
      <c r="P51" s="9"/>
      <c r="Q51" s="9"/>
      <c r="R51" s="9">
        <v>1</v>
      </c>
      <c r="S51" s="9">
        <v>4</v>
      </c>
      <c r="T51" s="9"/>
      <c r="U51" s="9">
        <v>3</v>
      </c>
      <c r="V51" s="9">
        <v>2</v>
      </c>
      <c r="W51" s="9">
        <v>1</v>
      </c>
      <c r="X51" s="9">
        <v>1</v>
      </c>
      <c r="Y51" s="9">
        <v>1</v>
      </c>
      <c r="Z51" s="9">
        <v>2</v>
      </c>
      <c r="AA51" s="9"/>
      <c r="AB51" s="9">
        <v>1</v>
      </c>
      <c r="AC51" s="9">
        <v>4</v>
      </c>
      <c r="AD51" s="9">
        <v>5</v>
      </c>
      <c r="AE51" s="9"/>
      <c r="AF51" s="9"/>
      <c r="AG51" s="9"/>
      <c r="AH51" s="135"/>
      <c r="AI51" s="135"/>
      <c r="AJ51" s="15">
        <f>SUM(C51:AG51)</f>
        <v>49</v>
      </c>
      <c r="AK51" s="172"/>
      <c r="AL51" s="172"/>
      <c r="AM51" s="172"/>
      <c r="AN51" s="172"/>
      <c r="AO51" s="172"/>
      <c r="AP51" s="172"/>
      <c r="AQ51" s="172"/>
      <c r="AR51" s="169"/>
      <c r="AS51" s="169"/>
      <c r="AU51" s="46"/>
    </row>
    <row r="52" spans="1:47" x14ac:dyDescent="0.25">
      <c r="A52" s="133"/>
      <c r="B52" s="178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36"/>
      <c r="AI52" s="136"/>
      <c r="AJ52" s="15"/>
      <c r="AK52" s="173"/>
      <c r="AL52" s="173"/>
      <c r="AM52" s="173"/>
      <c r="AN52" s="173"/>
      <c r="AO52" s="173"/>
      <c r="AP52" s="173"/>
      <c r="AQ52" s="173"/>
      <c r="AR52" s="170"/>
      <c r="AS52" s="170"/>
      <c r="AU52" s="46"/>
    </row>
    <row r="53" spans="1:47" x14ac:dyDescent="0.25">
      <c r="A53" s="131">
        <v>17</v>
      </c>
      <c r="B53" s="176" t="s">
        <v>80</v>
      </c>
      <c r="C53" s="1" t="s">
        <v>52</v>
      </c>
      <c r="D53" s="1" t="s">
        <v>41</v>
      </c>
      <c r="E53" s="1" t="s">
        <v>41</v>
      </c>
      <c r="F53" s="1" t="s">
        <v>41</v>
      </c>
      <c r="G53" s="1" t="s">
        <v>41</v>
      </c>
      <c r="H53" s="1" t="s">
        <v>41</v>
      </c>
      <c r="I53" s="1" t="s">
        <v>41</v>
      </c>
      <c r="J53" s="1" t="s">
        <v>41</v>
      </c>
      <c r="K53" s="1" t="s">
        <v>41</v>
      </c>
      <c r="L53" s="1" t="s">
        <v>41</v>
      </c>
      <c r="M53" s="1" t="s">
        <v>41</v>
      </c>
      <c r="N53" s="1" t="s">
        <v>41</v>
      </c>
      <c r="O53" s="1" t="s">
        <v>41</v>
      </c>
      <c r="P53" s="1" t="s">
        <v>41</v>
      </c>
      <c r="Q53" s="1" t="s">
        <v>52</v>
      </c>
      <c r="R53" s="1" t="s">
        <v>41</v>
      </c>
      <c r="S53" s="1" t="s">
        <v>41</v>
      </c>
      <c r="T53" s="1" t="s">
        <v>41</v>
      </c>
      <c r="U53" s="1" t="s">
        <v>41</v>
      </c>
      <c r="V53" s="1" t="s">
        <v>41</v>
      </c>
      <c r="W53" s="1" t="s">
        <v>52</v>
      </c>
      <c r="X53" s="1" t="s">
        <v>56</v>
      </c>
      <c r="Y53" s="1" t="s">
        <v>41</v>
      </c>
      <c r="Z53" s="1" t="s">
        <v>41</v>
      </c>
      <c r="AA53" s="1" t="s">
        <v>41</v>
      </c>
      <c r="AB53" s="1" t="s">
        <v>41</v>
      </c>
      <c r="AC53" s="1" t="s">
        <v>41</v>
      </c>
      <c r="AD53" s="1" t="s">
        <v>41</v>
      </c>
      <c r="AE53" s="1" t="s">
        <v>41</v>
      </c>
      <c r="AF53" s="1" t="s">
        <v>41</v>
      </c>
      <c r="AG53" s="1" t="s">
        <v>52</v>
      </c>
      <c r="AH53" s="134">
        <f>COUNTIF(C53:AG53,"P")</f>
        <v>26</v>
      </c>
      <c r="AI53" s="134">
        <f>COUNTIF(D53:AH53,"P/2")</f>
        <v>1</v>
      </c>
      <c r="AJ53" s="15"/>
      <c r="AK53" s="171">
        <f>COUNTIF(C55:AG55,"BAAS")</f>
        <v>0</v>
      </c>
      <c r="AL53" s="171">
        <f>COUNTIF(D55:AH55,"RCML")</f>
        <v>0</v>
      </c>
      <c r="AM53" s="171">
        <f>COUNTIF(E55:AJ55,"PRE")</f>
        <v>0</v>
      </c>
      <c r="AN53" s="171">
        <f>COUNTIF(F55:AK55,"BAKR")</f>
        <v>0</v>
      </c>
      <c r="AO53" s="171">
        <v>700</v>
      </c>
      <c r="AP53" s="171">
        <f>AO53*AI53/2</f>
        <v>350</v>
      </c>
      <c r="AQ53" s="171">
        <f>AH53*AO53+AP53</f>
        <v>18550</v>
      </c>
      <c r="AR53" s="168">
        <f>AJ54/8*AO53</f>
        <v>6300</v>
      </c>
      <c r="AS53" s="168">
        <f>AQ53+AR53</f>
        <v>24850</v>
      </c>
      <c r="AU53" s="46"/>
    </row>
    <row r="54" spans="1:47" x14ac:dyDescent="0.25">
      <c r="A54" s="132"/>
      <c r="B54" s="177"/>
      <c r="C54" s="9"/>
      <c r="D54" s="9">
        <v>1</v>
      </c>
      <c r="E54" s="9"/>
      <c r="F54" s="9">
        <v>2</v>
      </c>
      <c r="G54" s="9">
        <v>2</v>
      </c>
      <c r="H54" s="9">
        <v>1</v>
      </c>
      <c r="I54" s="9">
        <v>4</v>
      </c>
      <c r="J54" s="9">
        <v>5</v>
      </c>
      <c r="K54" s="9">
        <v>6</v>
      </c>
      <c r="L54" s="9">
        <v>5</v>
      </c>
      <c r="M54" s="9">
        <v>2</v>
      </c>
      <c r="N54" s="9">
        <v>4</v>
      </c>
      <c r="O54" s="9">
        <v>1</v>
      </c>
      <c r="P54" s="9">
        <v>3</v>
      </c>
      <c r="Q54" s="9"/>
      <c r="R54" s="9">
        <v>2</v>
      </c>
      <c r="S54" s="9"/>
      <c r="T54" s="9">
        <v>3</v>
      </c>
      <c r="U54" s="9"/>
      <c r="V54" s="9">
        <v>3</v>
      </c>
      <c r="W54" s="9"/>
      <c r="X54" s="9"/>
      <c r="Y54" s="9">
        <v>3</v>
      </c>
      <c r="Z54" s="9">
        <v>5</v>
      </c>
      <c r="AA54" s="9">
        <v>5</v>
      </c>
      <c r="AB54" s="9">
        <v>6</v>
      </c>
      <c r="AC54" s="9">
        <v>4</v>
      </c>
      <c r="AD54" s="9">
        <v>3</v>
      </c>
      <c r="AE54" s="9">
        <v>2</v>
      </c>
      <c r="AF54" s="9"/>
      <c r="AG54" s="9"/>
      <c r="AH54" s="135"/>
      <c r="AI54" s="135"/>
      <c r="AJ54" s="15">
        <f>SUM(C54:AG54)</f>
        <v>72</v>
      </c>
      <c r="AK54" s="172"/>
      <c r="AL54" s="172"/>
      <c r="AM54" s="172"/>
      <c r="AN54" s="172"/>
      <c r="AO54" s="172"/>
      <c r="AP54" s="172"/>
      <c r="AQ54" s="172"/>
      <c r="AR54" s="169"/>
      <c r="AS54" s="169"/>
      <c r="AU54" s="46"/>
    </row>
    <row r="55" spans="1:47" x14ac:dyDescent="0.25">
      <c r="A55" s="133"/>
      <c r="B55" s="178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36"/>
      <c r="AI55" s="136"/>
      <c r="AJ55" s="15"/>
      <c r="AK55" s="173"/>
      <c r="AL55" s="173"/>
      <c r="AM55" s="173"/>
      <c r="AN55" s="173"/>
      <c r="AO55" s="173"/>
      <c r="AP55" s="173"/>
      <c r="AQ55" s="173"/>
      <c r="AR55" s="170"/>
      <c r="AS55" s="170"/>
      <c r="AU55" s="46"/>
    </row>
    <row r="56" spans="1:47" x14ac:dyDescent="0.25">
      <c r="A56" s="131">
        <v>18</v>
      </c>
      <c r="B56" s="176" t="s">
        <v>81</v>
      </c>
      <c r="C56" s="1" t="s">
        <v>41</v>
      </c>
      <c r="D56" s="1" t="s">
        <v>52</v>
      </c>
      <c r="E56" s="1" t="s">
        <v>41</v>
      </c>
      <c r="F56" s="1" t="s">
        <v>41</v>
      </c>
      <c r="G56" s="1" t="s">
        <v>41</v>
      </c>
      <c r="H56" s="1" t="s">
        <v>41</v>
      </c>
      <c r="I56" s="1" t="s">
        <v>41</v>
      </c>
      <c r="J56" s="1" t="s">
        <v>41</v>
      </c>
      <c r="K56" s="1" t="s">
        <v>41</v>
      </c>
      <c r="L56" s="1" t="s">
        <v>52</v>
      </c>
      <c r="M56" s="1" t="s">
        <v>41</v>
      </c>
      <c r="N56" s="1" t="s">
        <v>52</v>
      </c>
      <c r="O56" s="1" t="s">
        <v>52</v>
      </c>
      <c r="P56" s="1" t="s">
        <v>41</v>
      </c>
      <c r="Q56" s="1" t="s">
        <v>41</v>
      </c>
      <c r="R56" s="1" t="s">
        <v>41</v>
      </c>
      <c r="S56" s="1" t="s">
        <v>52</v>
      </c>
      <c r="T56" s="1" t="s">
        <v>52</v>
      </c>
      <c r="U56" s="1" t="s">
        <v>41</v>
      </c>
      <c r="V56" s="1" t="s">
        <v>41</v>
      </c>
      <c r="W56" s="1" t="s">
        <v>41</v>
      </c>
      <c r="X56" s="1" t="s">
        <v>41</v>
      </c>
      <c r="Y56" s="1" t="s">
        <v>41</v>
      </c>
      <c r="Z56" s="1" t="s">
        <v>41</v>
      </c>
      <c r="AA56" s="1" t="s">
        <v>41</v>
      </c>
      <c r="AB56" s="1" t="s">
        <v>41</v>
      </c>
      <c r="AC56" s="1" t="s">
        <v>41</v>
      </c>
      <c r="AD56" s="1" t="s">
        <v>41</v>
      </c>
      <c r="AE56" s="1" t="s">
        <v>41</v>
      </c>
      <c r="AF56" s="1" t="s">
        <v>41</v>
      </c>
      <c r="AG56" s="1" t="s">
        <v>52</v>
      </c>
      <c r="AH56" s="134">
        <f>COUNTIF(C56:AG56,"P")</f>
        <v>24</v>
      </c>
      <c r="AI56" s="134">
        <f>COUNTIF(D56:AH56,"P/2")</f>
        <v>0</v>
      </c>
      <c r="AJ56" s="15"/>
      <c r="AK56" s="171">
        <f>COUNTIF(C58:AG58,"BAAS")</f>
        <v>0</v>
      </c>
      <c r="AL56" s="171">
        <f>COUNTIF(D58:AH58,"RCML")</f>
        <v>0</v>
      </c>
      <c r="AM56" s="171">
        <f>COUNTIF(E58:AJ58,"PRE")</f>
        <v>0</v>
      </c>
      <c r="AN56" s="171">
        <f>COUNTIF(F58:AK58,"BAKR")</f>
        <v>0</v>
      </c>
      <c r="AO56" s="171">
        <v>700</v>
      </c>
      <c r="AP56" s="171">
        <f>AO56*AI56/2</f>
        <v>0</v>
      </c>
      <c r="AQ56" s="171">
        <f>AH56*AO56+AP56</f>
        <v>16800</v>
      </c>
      <c r="AR56" s="168">
        <f>AJ57/8*AO56</f>
        <v>2362.5</v>
      </c>
      <c r="AS56" s="168">
        <f>AQ56+AR56</f>
        <v>19162.5</v>
      </c>
      <c r="AU56" s="46"/>
    </row>
    <row r="57" spans="1:47" x14ac:dyDescent="0.25">
      <c r="A57" s="132"/>
      <c r="B57" s="177"/>
      <c r="C57" s="9">
        <v>1</v>
      </c>
      <c r="D57" s="9"/>
      <c r="E57" s="9">
        <v>2</v>
      </c>
      <c r="F57" s="9">
        <v>2</v>
      </c>
      <c r="G57" s="9">
        <v>2</v>
      </c>
      <c r="H57" s="9">
        <v>4</v>
      </c>
      <c r="I57" s="9"/>
      <c r="J57" s="9"/>
      <c r="K57" s="9"/>
      <c r="L57" s="9"/>
      <c r="M57" s="9"/>
      <c r="N57" s="9"/>
      <c r="O57" s="9"/>
      <c r="P57" s="9"/>
      <c r="Q57" s="9">
        <v>1</v>
      </c>
      <c r="R57" s="9">
        <v>1</v>
      </c>
      <c r="S57" s="9"/>
      <c r="T57" s="9"/>
      <c r="U57" s="9">
        <v>2</v>
      </c>
      <c r="V57" s="9"/>
      <c r="W57" s="9"/>
      <c r="X57" s="9"/>
      <c r="Y57" s="9">
        <v>1</v>
      </c>
      <c r="Z57" s="9">
        <v>3</v>
      </c>
      <c r="AA57" s="9">
        <v>1</v>
      </c>
      <c r="AB57" s="9">
        <v>1</v>
      </c>
      <c r="AC57" s="9">
        <v>2</v>
      </c>
      <c r="AD57" s="9">
        <v>4</v>
      </c>
      <c r="AE57" s="9"/>
      <c r="AF57" s="9"/>
      <c r="AG57" s="9"/>
      <c r="AH57" s="135"/>
      <c r="AI57" s="135"/>
      <c r="AJ57" s="15">
        <f>SUM(C57:AG57)</f>
        <v>27</v>
      </c>
      <c r="AK57" s="172"/>
      <c r="AL57" s="172"/>
      <c r="AM57" s="172"/>
      <c r="AN57" s="172"/>
      <c r="AO57" s="172"/>
      <c r="AP57" s="172"/>
      <c r="AQ57" s="172"/>
      <c r="AR57" s="169"/>
      <c r="AS57" s="169"/>
      <c r="AU57" s="46"/>
    </row>
    <row r="58" spans="1:47" x14ac:dyDescent="0.25">
      <c r="A58" s="133"/>
      <c r="B58" s="178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36"/>
      <c r="AI58" s="136"/>
      <c r="AJ58" s="15"/>
      <c r="AK58" s="173"/>
      <c r="AL58" s="173"/>
      <c r="AM58" s="173"/>
      <c r="AN58" s="173"/>
      <c r="AO58" s="173"/>
      <c r="AP58" s="173"/>
      <c r="AQ58" s="173"/>
      <c r="AR58" s="170"/>
      <c r="AS58" s="170"/>
      <c r="AU58" s="46"/>
    </row>
    <row r="59" spans="1:47" x14ac:dyDescent="0.25">
      <c r="A59" s="131">
        <v>19</v>
      </c>
      <c r="B59" s="176" t="s">
        <v>87</v>
      </c>
      <c r="C59" s="1" t="s">
        <v>41</v>
      </c>
      <c r="D59" s="1" t="s">
        <v>41</v>
      </c>
      <c r="E59" s="1" t="s">
        <v>41</v>
      </c>
      <c r="F59" s="1" t="s">
        <v>41</v>
      </c>
      <c r="G59" s="1" t="s">
        <v>41</v>
      </c>
      <c r="H59" s="1" t="s">
        <v>41</v>
      </c>
      <c r="I59" s="1" t="s">
        <v>41</v>
      </c>
      <c r="J59" s="1" t="s">
        <v>41</v>
      </c>
      <c r="K59" s="1" t="s">
        <v>41</v>
      </c>
      <c r="L59" s="1" t="s">
        <v>41</v>
      </c>
      <c r="M59" s="1" t="s">
        <v>41</v>
      </c>
      <c r="N59" s="1" t="s">
        <v>41</v>
      </c>
      <c r="O59" s="1" t="s">
        <v>41</v>
      </c>
      <c r="P59" s="1" t="s">
        <v>41</v>
      </c>
      <c r="Q59" s="1" t="s">
        <v>52</v>
      </c>
      <c r="R59" s="1" t="s">
        <v>41</v>
      </c>
      <c r="S59" s="1" t="s">
        <v>41</v>
      </c>
      <c r="T59" s="1" t="s">
        <v>41</v>
      </c>
      <c r="U59" s="1" t="s">
        <v>41</v>
      </c>
      <c r="V59" s="1" t="s">
        <v>41</v>
      </c>
      <c r="W59" s="1" t="s">
        <v>41</v>
      </c>
      <c r="X59" s="1" t="s">
        <v>41</v>
      </c>
      <c r="Y59" s="1" t="s">
        <v>41</v>
      </c>
      <c r="Z59" s="1" t="s">
        <v>41</v>
      </c>
      <c r="AA59" s="1" t="s">
        <v>41</v>
      </c>
      <c r="AB59" s="1" t="s">
        <v>41</v>
      </c>
      <c r="AC59" s="1" t="s">
        <v>41</v>
      </c>
      <c r="AD59" s="1" t="s">
        <v>41</v>
      </c>
      <c r="AE59" s="1" t="s">
        <v>41</v>
      </c>
      <c r="AF59" s="1" t="s">
        <v>41</v>
      </c>
      <c r="AG59" s="1" t="s">
        <v>52</v>
      </c>
      <c r="AH59" s="134">
        <f>COUNTIF(C59:AG59,"P")</f>
        <v>29</v>
      </c>
      <c r="AI59" s="134">
        <f>COUNTIF(D59:AH59,"P/2")</f>
        <v>0</v>
      </c>
      <c r="AJ59" s="15"/>
      <c r="AK59" s="171">
        <f>COUNTIF(C61:AG61,"BAAS")</f>
        <v>0</v>
      </c>
      <c r="AL59" s="171">
        <f>COUNTIF(D61:AH61,"RCML")</f>
        <v>0</v>
      </c>
      <c r="AM59" s="171">
        <f>COUNTIF(E61:AJ61,"PRE")</f>
        <v>0</v>
      </c>
      <c r="AN59" s="171">
        <f>COUNTIF(F61:AK61,"BAKR")</f>
        <v>0</v>
      </c>
      <c r="AO59" s="171">
        <v>700</v>
      </c>
      <c r="AP59" s="171">
        <f>AO59*AI59/2</f>
        <v>0</v>
      </c>
      <c r="AQ59" s="171">
        <f>AH59*AO59+AP59</f>
        <v>20300</v>
      </c>
      <c r="AR59" s="168">
        <f>AJ60/8*AO59</f>
        <v>8137.5</v>
      </c>
      <c r="AS59" s="168">
        <f>AQ59+AR59</f>
        <v>28437.5</v>
      </c>
      <c r="AU59" s="46"/>
    </row>
    <row r="60" spans="1:47" x14ac:dyDescent="0.25">
      <c r="A60" s="132"/>
      <c r="B60" s="177"/>
      <c r="C60" s="9">
        <v>5</v>
      </c>
      <c r="D60" s="9">
        <v>4</v>
      </c>
      <c r="E60" s="9">
        <v>1</v>
      </c>
      <c r="F60" s="9">
        <v>2</v>
      </c>
      <c r="G60" s="9">
        <v>1</v>
      </c>
      <c r="H60" s="9"/>
      <c r="I60" s="9">
        <v>4</v>
      </c>
      <c r="J60" s="9">
        <v>5</v>
      </c>
      <c r="K60" s="9">
        <v>6</v>
      </c>
      <c r="L60" s="9">
        <v>5</v>
      </c>
      <c r="M60" s="9">
        <v>2</v>
      </c>
      <c r="N60" s="9">
        <v>5</v>
      </c>
      <c r="O60" s="9">
        <v>3</v>
      </c>
      <c r="P60" s="9">
        <v>3</v>
      </c>
      <c r="Q60" s="9"/>
      <c r="R60" s="9">
        <v>2</v>
      </c>
      <c r="S60" s="9">
        <v>5</v>
      </c>
      <c r="T60" s="9">
        <v>1</v>
      </c>
      <c r="U60" s="9"/>
      <c r="V60" s="9">
        <v>3</v>
      </c>
      <c r="W60" s="9">
        <v>4</v>
      </c>
      <c r="X60" s="9">
        <v>3</v>
      </c>
      <c r="Y60" s="9">
        <v>5</v>
      </c>
      <c r="Z60" s="9">
        <v>3</v>
      </c>
      <c r="AA60" s="9">
        <v>1</v>
      </c>
      <c r="AB60" s="9">
        <v>4</v>
      </c>
      <c r="AC60" s="9">
        <v>8</v>
      </c>
      <c r="AD60" s="9">
        <v>8</v>
      </c>
      <c r="AE60" s="9"/>
      <c r="AF60" s="9"/>
      <c r="AG60" s="9"/>
      <c r="AH60" s="135"/>
      <c r="AI60" s="135"/>
      <c r="AJ60" s="15">
        <f>SUM(C60:AG60)</f>
        <v>93</v>
      </c>
      <c r="AK60" s="172"/>
      <c r="AL60" s="172"/>
      <c r="AM60" s="172"/>
      <c r="AN60" s="172"/>
      <c r="AO60" s="172"/>
      <c r="AP60" s="172"/>
      <c r="AQ60" s="172"/>
      <c r="AR60" s="169"/>
      <c r="AS60" s="169"/>
      <c r="AU60" s="46"/>
    </row>
    <row r="61" spans="1:47" x14ac:dyDescent="0.25">
      <c r="A61" s="133"/>
      <c r="B61" s="178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36"/>
      <c r="AI61" s="136"/>
      <c r="AJ61" s="15"/>
      <c r="AK61" s="173"/>
      <c r="AL61" s="173"/>
      <c r="AM61" s="173"/>
      <c r="AN61" s="173"/>
      <c r="AO61" s="173"/>
      <c r="AP61" s="173"/>
      <c r="AQ61" s="173"/>
      <c r="AR61" s="170"/>
      <c r="AS61" s="170"/>
      <c r="AU61" s="46"/>
    </row>
    <row r="62" spans="1:47" x14ac:dyDescent="0.25">
      <c r="A62" s="131">
        <v>20</v>
      </c>
      <c r="B62" s="176" t="s">
        <v>88</v>
      </c>
      <c r="C62" s="1" t="s">
        <v>41</v>
      </c>
      <c r="D62" s="1" t="s">
        <v>41</v>
      </c>
      <c r="E62" s="1" t="s">
        <v>41</v>
      </c>
      <c r="F62" s="1" t="s">
        <v>41</v>
      </c>
      <c r="G62" s="1" t="s">
        <v>41</v>
      </c>
      <c r="H62" s="1" t="s">
        <v>41</v>
      </c>
      <c r="I62" s="1" t="s">
        <v>41</v>
      </c>
      <c r="J62" s="1" t="s">
        <v>41</v>
      </c>
      <c r="K62" s="1" t="s">
        <v>41</v>
      </c>
      <c r="L62" s="1" t="s">
        <v>41</v>
      </c>
      <c r="M62" s="1" t="s">
        <v>41</v>
      </c>
      <c r="N62" s="1" t="s">
        <v>41</v>
      </c>
      <c r="O62" s="1" t="s">
        <v>41</v>
      </c>
      <c r="P62" s="1" t="s">
        <v>41</v>
      </c>
      <c r="Q62" s="1" t="s">
        <v>52</v>
      </c>
      <c r="R62" s="1" t="s">
        <v>41</v>
      </c>
      <c r="S62" s="1" t="s">
        <v>41</v>
      </c>
      <c r="T62" s="1" t="s">
        <v>41</v>
      </c>
      <c r="U62" s="1" t="s">
        <v>41</v>
      </c>
      <c r="V62" s="1" t="s">
        <v>41</v>
      </c>
      <c r="W62" s="1" t="s">
        <v>41</v>
      </c>
      <c r="X62" s="1" t="s">
        <v>41</v>
      </c>
      <c r="Y62" s="1" t="s">
        <v>41</v>
      </c>
      <c r="Z62" s="1" t="s">
        <v>41</v>
      </c>
      <c r="AA62" s="1" t="s">
        <v>41</v>
      </c>
      <c r="AB62" s="1" t="s">
        <v>41</v>
      </c>
      <c r="AC62" s="1" t="s">
        <v>41</v>
      </c>
      <c r="AD62" s="1" t="s">
        <v>41</v>
      </c>
      <c r="AE62" s="1" t="s">
        <v>41</v>
      </c>
      <c r="AF62" s="1" t="s">
        <v>41</v>
      </c>
      <c r="AG62" s="1" t="s">
        <v>52</v>
      </c>
      <c r="AH62" s="134">
        <f>COUNTIF(C62:AG62,"P")</f>
        <v>29</v>
      </c>
      <c r="AI62" s="134">
        <f>COUNTIF(D62:AH62,"P/2")</f>
        <v>0</v>
      </c>
      <c r="AJ62" s="15"/>
      <c r="AK62" s="171">
        <f>COUNTIF(C64:AG64,"BAAS")</f>
        <v>0</v>
      </c>
      <c r="AL62" s="171">
        <f>COUNTIF(D64:AH64,"RCML")</f>
        <v>0</v>
      </c>
      <c r="AM62" s="171">
        <f>COUNTIF(E64:AJ64,"PRE")</f>
        <v>0</v>
      </c>
      <c r="AN62" s="171">
        <f>COUNTIF(F64:AK64,"BAKR")</f>
        <v>0</v>
      </c>
      <c r="AO62" s="171">
        <v>700</v>
      </c>
      <c r="AP62" s="171">
        <f>AO62*AI62/2</f>
        <v>0</v>
      </c>
      <c r="AQ62" s="171">
        <f>AH62*AO62+AP62</f>
        <v>20300</v>
      </c>
      <c r="AR62" s="168">
        <f>AJ63/8*AO62</f>
        <v>8137.5</v>
      </c>
      <c r="AS62" s="168">
        <f>AQ62+AR62</f>
        <v>28437.5</v>
      </c>
      <c r="AU62" s="46"/>
    </row>
    <row r="63" spans="1:47" x14ac:dyDescent="0.25">
      <c r="A63" s="132"/>
      <c r="B63" s="177"/>
      <c r="C63" s="9">
        <v>5</v>
      </c>
      <c r="D63" s="9">
        <v>1</v>
      </c>
      <c r="E63" s="9"/>
      <c r="F63" s="9">
        <v>1</v>
      </c>
      <c r="G63" s="9">
        <v>1</v>
      </c>
      <c r="H63" s="9"/>
      <c r="I63" s="9">
        <v>4</v>
      </c>
      <c r="J63" s="9">
        <v>6</v>
      </c>
      <c r="K63" s="9">
        <v>6</v>
      </c>
      <c r="L63" s="9">
        <v>5</v>
      </c>
      <c r="M63" s="9">
        <v>2</v>
      </c>
      <c r="N63" s="9">
        <v>7</v>
      </c>
      <c r="O63" s="9">
        <v>3</v>
      </c>
      <c r="P63" s="9">
        <v>3</v>
      </c>
      <c r="Q63" s="9"/>
      <c r="R63" s="9">
        <v>2</v>
      </c>
      <c r="S63" s="9">
        <v>5</v>
      </c>
      <c r="T63" s="9">
        <v>3</v>
      </c>
      <c r="U63" s="9"/>
      <c r="V63" s="9">
        <v>3</v>
      </c>
      <c r="W63" s="9">
        <v>4</v>
      </c>
      <c r="X63" s="9">
        <v>5</v>
      </c>
      <c r="Y63" s="9">
        <v>5</v>
      </c>
      <c r="Z63" s="9">
        <v>5</v>
      </c>
      <c r="AA63" s="9">
        <v>3</v>
      </c>
      <c r="AB63" s="9">
        <v>4</v>
      </c>
      <c r="AC63" s="9">
        <v>3</v>
      </c>
      <c r="AD63" s="9">
        <v>5</v>
      </c>
      <c r="AE63" s="9">
        <v>2</v>
      </c>
      <c r="AF63" s="9"/>
      <c r="AG63" s="9"/>
      <c r="AH63" s="135"/>
      <c r="AI63" s="135"/>
      <c r="AJ63" s="15">
        <f>SUM(C63:AG63)</f>
        <v>93</v>
      </c>
      <c r="AK63" s="172"/>
      <c r="AL63" s="172"/>
      <c r="AM63" s="172"/>
      <c r="AN63" s="172"/>
      <c r="AO63" s="172"/>
      <c r="AP63" s="172"/>
      <c r="AQ63" s="172"/>
      <c r="AR63" s="169"/>
      <c r="AS63" s="169"/>
      <c r="AU63" s="46"/>
    </row>
    <row r="64" spans="1:47" x14ac:dyDescent="0.25">
      <c r="A64" s="133"/>
      <c r="B64" s="178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36"/>
      <c r="AI64" s="136"/>
      <c r="AJ64" s="15"/>
      <c r="AK64" s="173"/>
      <c r="AL64" s="173"/>
      <c r="AM64" s="173"/>
      <c r="AN64" s="173"/>
      <c r="AO64" s="173"/>
      <c r="AP64" s="173"/>
      <c r="AQ64" s="173"/>
      <c r="AR64" s="170"/>
      <c r="AS64" s="170"/>
      <c r="AU64" s="46"/>
    </row>
    <row r="65" spans="1:48" x14ac:dyDescent="0.25">
      <c r="A65" s="131">
        <v>21</v>
      </c>
      <c r="B65" s="176" t="s">
        <v>89</v>
      </c>
      <c r="C65" s="1" t="s">
        <v>41</v>
      </c>
      <c r="D65" s="1" t="s">
        <v>41</v>
      </c>
      <c r="E65" s="1" t="s">
        <v>41</v>
      </c>
      <c r="F65" s="1" t="s">
        <v>41</v>
      </c>
      <c r="G65" s="1" t="s">
        <v>41</v>
      </c>
      <c r="H65" s="1" t="s">
        <v>41</v>
      </c>
      <c r="I65" s="1" t="s">
        <v>41</v>
      </c>
      <c r="J65" s="1" t="s">
        <v>41</v>
      </c>
      <c r="K65" s="1" t="s">
        <v>41</v>
      </c>
      <c r="L65" s="1" t="s">
        <v>41</v>
      </c>
      <c r="M65" s="1" t="s">
        <v>41</v>
      </c>
      <c r="N65" s="1" t="s">
        <v>41</v>
      </c>
      <c r="O65" s="1" t="s">
        <v>41</v>
      </c>
      <c r="P65" s="1" t="s">
        <v>41</v>
      </c>
      <c r="Q65" s="1" t="s">
        <v>52</v>
      </c>
      <c r="R65" s="1" t="s">
        <v>41</v>
      </c>
      <c r="S65" s="1" t="s">
        <v>41</v>
      </c>
      <c r="T65" s="1" t="s">
        <v>41</v>
      </c>
      <c r="U65" s="1" t="s">
        <v>41</v>
      </c>
      <c r="V65" s="1" t="s">
        <v>41</v>
      </c>
      <c r="W65" s="1" t="s">
        <v>52</v>
      </c>
      <c r="X65" s="1" t="s">
        <v>41</v>
      </c>
      <c r="Y65" s="1" t="s">
        <v>41</v>
      </c>
      <c r="Z65" s="1" t="s">
        <v>41</v>
      </c>
      <c r="AA65" s="1" t="s">
        <v>41</v>
      </c>
      <c r="AB65" s="1" t="s">
        <v>41</v>
      </c>
      <c r="AC65" s="1" t="s">
        <v>41</v>
      </c>
      <c r="AD65" s="1" t="s">
        <v>41</v>
      </c>
      <c r="AE65" s="1" t="s">
        <v>41</v>
      </c>
      <c r="AF65" s="1" t="s">
        <v>41</v>
      </c>
      <c r="AG65" s="1" t="s">
        <v>52</v>
      </c>
      <c r="AH65" s="134">
        <f>COUNTIF(C65:AG65,"P")</f>
        <v>28</v>
      </c>
      <c r="AI65" s="134">
        <f>COUNTIF(D65:AH65,"P/2")</f>
        <v>0</v>
      </c>
      <c r="AJ65" s="15"/>
      <c r="AK65" s="171">
        <f>COUNTIF(C67:AG67,"BAAS")</f>
        <v>0</v>
      </c>
      <c r="AL65" s="171">
        <f>COUNTIF(D67:AH67,"RCML")</f>
        <v>0</v>
      </c>
      <c r="AM65" s="171">
        <f>COUNTIF(E67:AJ67,"PRE")</f>
        <v>0</v>
      </c>
      <c r="AN65" s="171">
        <f>COUNTIF(F67:AK67,"BAKR")</f>
        <v>0</v>
      </c>
      <c r="AO65" s="171">
        <v>700</v>
      </c>
      <c r="AP65" s="171">
        <f>AO65*AI65/2</f>
        <v>0</v>
      </c>
      <c r="AQ65" s="171">
        <f>AH65*AO65+AP65</f>
        <v>19600</v>
      </c>
      <c r="AR65" s="168">
        <f>AJ66/8*AO65</f>
        <v>7262.5</v>
      </c>
      <c r="AS65" s="168">
        <f>AQ65+AR65</f>
        <v>26862.5</v>
      </c>
      <c r="AU65" s="46"/>
    </row>
    <row r="66" spans="1:48" x14ac:dyDescent="0.25">
      <c r="A66" s="132"/>
      <c r="B66" s="177"/>
      <c r="C66" s="9">
        <v>2</v>
      </c>
      <c r="D66" s="9">
        <v>1</v>
      </c>
      <c r="E66" s="9"/>
      <c r="F66" s="9">
        <v>3</v>
      </c>
      <c r="G66" s="9">
        <v>1</v>
      </c>
      <c r="H66" s="9"/>
      <c r="I66" s="9">
        <v>4</v>
      </c>
      <c r="J66" s="9">
        <v>5</v>
      </c>
      <c r="K66" s="9">
        <v>6</v>
      </c>
      <c r="L66" s="9">
        <v>5</v>
      </c>
      <c r="M66" s="9">
        <v>2</v>
      </c>
      <c r="N66" s="9">
        <v>4</v>
      </c>
      <c r="O66" s="9">
        <v>2</v>
      </c>
      <c r="P66" s="9">
        <v>3</v>
      </c>
      <c r="Q66" s="9"/>
      <c r="R66" s="9">
        <v>4</v>
      </c>
      <c r="S66" s="9">
        <v>3</v>
      </c>
      <c r="T66" s="9">
        <v>4</v>
      </c>
      <c r="U66" s="9"/>
      <c r="V66" s="9"/>
      <c r="W66" s="9"/>
      <c r="X66" s="9">
        <v>3</v>
      </c>
      <c r="Y66" s="9">
        <v>5</v>
      </c>
      <c r="Z66" s="9">
        <v>8</v>
      </c>
      <c r="AA66" s="9">
        <v>3</v>
      </c>
      <c r="AB66" s="9">
        <v>6</v>
      </c>
      <c r="AC66" s="9">
        <v>4</v>
      </c>
      <c r="AD66" s="9">
        <v>3</v>
      </c>
      <c r="AE66" s="9">
        <v>2</v>
      </c>
      <c r="AF66" s="9"/>
      <c r="AG66" s="9"/>
      <c r="AH66" s="135"/>
      <c r="AI66" s="135"/>
      <c r="AJ66" s="15">
        <f>SUM(C66:AG66)</f>
        <v>83</v>
      </c>
      <c r="AK66" s="172"/>
      <c r="AL66" s="172"/>
      <c r="AM66" s="172"/>
      <c r="AN66" s="172"/>
      <c r="AO66" s="172"/>
      <c r="AP66" s="172"/>
      <c r="AQ66" s="172"/>
      <c r="AR66" s="169"/>
      <c r="AS66" s="169"/>
      <c r="AU66" s="46"/>
    </row>
    <row r="67" spans="1:48" x14ac:dyDescent="0.25">
      <c r="A67" s="133"/>
      <c r="B67" s="178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36"/>
      <c r="AI67" s="136"/>
      <c r="AJ67" s="15"/>
      <c r="AK67" s="173"/>
      <c r="AL67" s="173"/>
      <c r="AM67" s="173"/>
      <c r="AN67" s="173"/>
      <c r="AO67" s="173"/>
      <c r="AP67" s="173"/>
      <c r="AQ67" s="173"/>
      <c r="AR67" s="170"/>
      <c r="AS67" s="170"/>
      <c r="AU67" s="46"/>
    </row>
    <row r="68" spans="1:48" x14ac:dyDescent="0.25">
      <c r="A68" s="131">
        <v>22</v>
      </c>
      <c r="B68" s="176" t="s">
        <v>90</v>
      </c>
      <c r="C68" s="1" t="s">
        <v>41</v>
      </c>
      <c r="D68" s="1" t="s">
        <v>41</v>
      </c>
      <c r="E68" s="1" t="s">
        <v>41</v>
      </c>
      <c r="F68" s="1" t="s">
        <v>41</v>
      </c>
      <c r="G68" s="1" t="s">
        <v>41</v>
      </c>
      <c r="H68" s="1" t="s">
        <v>41</v>
      </c>
      <c r="I68" s="1" t="s">
        <v>41</v>
      </c>
      <c r="J68" s="1" t="s">
        <v>41</v>
      </c>
      <c r="K68" s="1" t="s">
        <v>41</v>
      </c>
      <c r="L68" s="1" t="s">
        <v>41</v>
      </c>
      <c r="M68" s="1" t="s">
        <v>41</v>
      </c>
      <c r="N68" s="1" t="s">
        <v>52</v>
      </c>
      <c r="O68" s="1" t="s">
        <v>41</v>
      </c>
      <c r="P68" s="1" t="s">
        <v>41</v>
      </c>
      <c r="Q68" s="1" t="s">
        <v>52</v>
      </c>
      <c r="R68" s="1" t="s">
        <v>52</v>
      </c>
      <c r="S68" s="1" t="s">
        <v>52</v>
      </c>
      <c r="T68" s="1" t="s">
        <v>52</v>
      </c>
      <c r="U68" s="1" t="s">
        <v>41</v>
      </c>
      <c r="V68" s="1" t="s">
        <v>41</v>
      </c>
      <c r="W68" s="1" t="s">
        <v>41</v>
      </c>
      <c r="X68" s="1" t="s">
        <v>41</v>
      </c>
      <c r="Y68" s="1" t="s">
        <v>41</v>
      </c>
      <c r="Z68" s="1" t="s">
        <v>41</v>
      </c>
      <c r="AA68" s="1" t="s">
        <v>41</v>
      </c>
      <c r="AB68" s="1" t="s">
        <v>41</v>
      </c>
      <c r="AC68" s="1" t="s">
        <v>41</v>
      </c>
      <c r="AD68" s="1" t="s">
        <v>41</v>
      </c>
      <c r="AE68" s="1" t="s">
        <v>41</v>
      </c>
      <c r="AF68" s="1" t="s">
        <v>41</v>
      </c>
      <c r="AG68" s="1" t="s">
        <v>52</v>
      </c>
      <c r="AH68" s="134">
        <f>COUNTIF(C68:AG68,"P")</f>
        <v>25</v>
      </c>
      <c r="AI68" s="134">
        <f>COUNTIF(D68:AH68,"P/2")</f>
        <v>0</v>
      </c>
      <c r="AJ68" s="15"/>
      <c r="AK68" s="171">
        <f>COUNTIF(C70:AG70,"BAAS")</f>
        <v>0</v>
      </c>
      <c r="AL68" s="171">
        <f>COUNTIF(D70:AH70,"RCML")</f>
        <v>0</v>
      </c>
      <c r="AM68" s="171">
        <f>COUNTIF(E70:AJ70,"PRE")</f>
        <v>0</v>
      </c>
      <c r="AN68" s="171">
        <f>COUNTIF(F70:AK70,"BAKR")</f>
        <v>0</v>
      </c>
      <c r="AO68" s="171">
        <v>600</v>
      </c>
      <c r="AP68" s="171">
        <f>AO68*AI68/2</f>
        <v>0</v>
      </c>
      <c r="AQ68" s="171">
        <f>AH68*AO68+AP68</f>
        <v>15000</v>
      </c>
      <c r="AR68" s="168">
        <f>AJ69/8*AO68</f>
        <v>4050</v>
      </c>
      <c r="AS68" s="168">
        <f>AQ68+AR68</f>
        <v>19050</v>
      </c>
      <c r="AU68" s="46"/>
    </row>
    <row r="69" spans="1:48" x14ac:dyDescent="0.25">
      <c r="A69" s="132"/>
      <c r="B69" s="177"/>
      <c r="C69" s="9">
        <v>2</v>
      </c>
      <c r="D69" s="9">
        <v>1</v>
      </c>
      <c r="E69" s="9"/>
      <c r="F69" s="9">
        <v>2</v>
      </c>
      <c r="G69" s="9">
        <v>1</v>
      </c>
      <c r="H69" s="9"/>
      <c r="I69" s="9">
        <v>4</v>
      </c>
      <c r="J69" s="9">
        <v>5</v>
      </c>
      <c r="K69" s="9">
        <v>8</v>
      </c>
      <c r="L69" s="9">
        <v>6</v>
      </c>
      <c r="M69" s="9">
        <v>2</v>
      </c>
      <c r="N69" s="9"/>
      <c r="O69" s="9">
        <v>1</v>
      </c>
      <c r="P69" s="9">
        <v>3</v>
      </c>
      <c r="Q69" s="9"/>
      <c r="R69" s="9"/>
      <c r="S69" s="9"/>
      <c r="T69" s="9"/>
      <c r="U69" s="9"/>
      <c r="V69" s="9"/>
      <c r="W69" s="9">
        <v>3</v>
      </c>
      <c r="X69" s="9">
        <v>2</v>
      </c>
      <c r="Y69" s="9">
        <v>2</v>
      </c>
      <c r="Z69" s="9">
        <v>2</v>
      </c>
      <c r="AA69" s="9">
        <v>2</v>
      </c>
      <c r="AB69" s="9">
        <v>4</v>
      </c>
      <c r="AC69" s="9"/>
      <c r="AD69" s="9">
        <v>4</v>
      </c>
      <c r="AE69" s="9"/>
      <c r="AF69" s="9"/>
      <c r="AG69" s="9"/>
      <c r="AH69" s="135"/>
      <c r="AI69" s="135"/>
      <c r="AJ69" s="15">
        <f>SUM(C69:AG69)</f>
        <v>54</v>
      </c>
      <c r="AK69" s="172"/>
      <c r="AL69" s="172"/>
      <c r="AM69" s="172"/>
      <c r="AN69" s="172"/>
      <c r="AO69" s="172"/>
      <c r="AP69" s="172"/>
      <c r="AQ69" s="172"/>
      <c r="AR69" s="169"/>
      <c r="AS69" s="169"/>
      <c r="AU69" s="46"/>
    </row>
    <row r="70" spans="1:48" x14ac:dyDescent="0.25">
      <c r="A70" s="133"/>
      <c r="B70" s="178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36"/>
      <c r="AI70" s="136"/>
      <c r="AJ70" s="15"/>
      <c r="AK70" s="173"/>
      <c r="AL70" s="173"/>
      <c r="AM70" s="173"/>
      <c r="AN70" s="173"/>
      <c r="AO70" s="173"/>
      <c r="AP70" s="173"/>
      <c r="AQ70" s="173"/>
      <c r="AR70" s="170"/>
      <c r="AS70" s="170"/>
      <c r="AU70" s="46"/>
    </row>
    <row r="71" spans="1:48" x14ac:dyDescent="0.25">
      <c r="A71" s="131">
        <v>23</v>
      </c>
      <c r="B71" s="176" t="s">
        <v>91</v>
      </c>
      <c r="C71" s="1" t="s">
        <v>41</v>
      </c>
      <c r="D71" s="1" t="s">
        <v>41</v>
      </c>
      <c r="E71" s="1" t="s">
        <v>41</v>
      </c>
      <c r="F71" s="1" t="s">
        <v>41</v>
      </c>
      <c r="G71" s="1" t="s">
        <v>41</v>
      </c>
      <c r="H71" s="1" t="s">
        <v>41</v>
      </c>
      <c r="I71" s="1" t="s">
        <v>41</v>
      </c>
      <c r="J71" s="1" t="s">
        <v>56</v>
      </c>
      <c r="K71" s="1" t="s">
        <v>41</v>
      </c>
      <c r="L71" s="1" t="s">
        <v>41</v>
      </c>
      <c r="M71" s="1" t="s">
        <v>41</v>
      </c>
      <c r="N71" s="1" t="s">
        <v>52</v>
      </c>
      <c r="O71" s="1" t="s">
        <v>52</v>
      </c>
      <c r="P71" s="1" t="s">
        <v>41</v>
      </c>
      <c r="Q71" s="1" t="s">
        <v>41</v>
      </c>
      <c r="R71" s="1" t="s">
        <v>41</v>
      </c>
      <c r="S71" s="1" t="s">
        <v>41</v>
      </c>
      <c r="T71" s="1" t="s">
        <v>52</v>
      </c>
      <c r="U71" s="1" t="s">
        <v>41</v>
      </c>
      <c r="V71" s="1" t="s">
        <v>41</v>
      </c>
      <c r="W71" s="1" t="s">
        <v>41</v>
      </c>
      <c r="X71" s="1" t="s">
        <v>41</v>
      </c>
      <c r="Y71" s="1" t="s">
        <v>41</v>
      </c>
      <c r="Z71" s="1" t="s">
        <v>41</v>
      </c>
      <c r="AA71" s="1" t="s">
        <v>41</v>
      </c>
      <c r="AB71" s="1" t="s">
        <v>41</v>
      </c>
      <c r="AC71" s="1" t="s">
        <v>41</v>
      </c>
      <c r="AD71" s="1" t="s">
        <v>41</v>
      </c>
      <c r="AE71" s="1" t="s">
        <v>41</v>
      </c>
      <c r="AF71" s="1" t="s">
        <v>41</v>
      </c>
      <c r="AG71" s="1" t="s">
        <v>52</v>
      </c>
      <c r="AH71" s="134">
        <f>COUNTIF(C71:AG71,"P")</f>
        <v>26</v>
      </c>
      <c r="AI71" s="134">
        <f>COUNTIF(D71:AH71,"P/2")</f>
        <v>1</v>
      </c>
      <c r="AJ71" s="15"/>
      <c r="AK71" s="171">
        <f>COUNTIF(C73:AG73,"BAAS")</f>
        <v>0</v>
      </c>
      <c r="AL71" s="171">
        <f>COUNTIF(D73:AH73,"RCML")</f>
        <v>0</v>
      </c>
      <c r="AM71" s="171">
        <f>COUNTIF(E73:AJ73,"PRE")</f>
        <v>0</v>
      </c>
      <c r="AN71" s="171">
        <f>COUNTIF(F73:AK73,"BAKR")</f>
        <v>0</v>
      </c>
      <c r="AO71" s="171">
        <v>600</v>
      </c>
      <c r="AP71" s="171">
        <f>AO71*AI71/2</f>
        <v>300</v>
      </c>
      <c r="AQ71" s="171">
        <f>AH71*AO71+AP71</f>
        <v>15900</v>
      </c>
      <c r="AR71" s="168">
        <f>AJ72/8*AO71</f>
        <v>3150</v>
      </c>
      <c r="AS71" s="168">
        <f>AQ71+AR71</f>
        <v>19050</v>
      </c>
      <c r="AU71" s="46"/>
    </row>
    <row r="72" spans="1:48" x14ac:dyDescent="0.25">
      <c r="A72" s="132"/>
      <c r="B72" s="177"/>
      <c r="C72" s="9">
        <v>2</v>
      </c>
      <c r="D72" s="9">
        <v>1</v>
      </c>
      <c r="E72" s="9">
        <v>1</v>
      </c>
      <c r="F72" s="9">
        <v>4</v>
      </c>
      <c r="G72" s="9">
        <v>4</v>
      </c>
      <c r="H72" s="9"/>
      <c r="I72" s="9"/>
      <c r="J72" s="9"/>
      <c r="K72" s="9"/>
      <c r="L72" s="9">
        <v>3</v>
      </c>
      <c r="M72" s="9"/>
      <c r="N72" s="9"/>
      <c r="O72" s="9"/>
      <c r="P72" s="9"/>
      <c r="Q72" s="9"/>
      <c r="R72" s="9"/>
      <c r="S72" s="9">
        <v>4</v>
      </c>
      <c r="T72" s="9"/>
      <c r="U72" s="9">
        <v>3</v>
      </c>
      <c r="V72" s="9">
        <v>2</v>
      </c>
      <c r="W72" s="9">
        <v>1</v>
      </c>
      <c r="X72" s="9">
        <v>1</v>
      </c>
      <c r="Y72" s="9">
        <v>1</v>
      </c>
      <c r="Z72" s="9">
        <v>2</v>
      </c>
      <c r="AA72" s="9">
        <v>3</v>
      </c>
      <c r="AB72" s="9">
        <v>2</v>
      </c>
      <c r="AC72" s="9">
        <v>2</v>
      </c>
      <c r="AD72" s="9">
        <v>5</v>
      </c>
      <c r="AE72" s="9">
        <v>1</v>
      </c>
      <c r="AF72" s="9"/>
      <c r="AG72" s="9"/>
      <c r="AH72" s="135"/>
      <c r="AI72" s="135"/>
      <c r="AJ72" s="15">
        <f>SUM(C72:AG72)</f>
        <v>42</v>
      </c>
      <c r="AK72" s="172"/>
      <c r="AL72" s="172"/>
      <c r="AM72" s="172"/>
      <c r="AN72" s="172"/>
      <c r="AO72" s="172"/>
      <c r="AP72" s="172"/>
      <c r="AQ72" s="172"/>
      <c r="AR72" s="169"/>
      <c r="AS72" s="169"/>
      <c r="AT72">
        <v>19350</v>
      </c>
      <c r="AU72" s="46"/>
      <c r="AV72">
        <v>300</v>
      </c>
    </row>
    <row r="73" spans="1:48" x14ac:dyDescent="0.25">
      <c r="A73" s="133"/>
      <c r="B73" s="178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36"/>
      <c r="AI73" s="136"/>
      <c r="AJ73" s="15"/>
      <c r="AK73" s="173"/>
      <c r="AL73" s="173"/>
      <c r="AM73" s="173"/>
      <c r="AN73" s="173"/>
      <c r="AO73" s="173"/>
      <c r="AP73" s="173"/>
      <c r="AQ73" s="173"/>
      <c r="AR73" s="170"/>
      <c r="AS73" s="170"/>
      <c r="AU73" s="46"/>
    </row>
    <row r="74" spans="1:48" x14ac:dyDescent="0.25">
      <c r="A74" s="131">
        <v>24</v>
      </c>
      <c r="B74" s="176" t="s">
        <v>92</v>
      </c>
      <c r="C74" s="1" t="s">
        <v>41</v>
      </c>
      <c r="D74" s="1" t="s">
        <v>41</v>
      </c>
      <c r="E74" s="1" t="s">
        <v>41</v>
      </c>
      <c r="F74" s="1" t="s">
        <v>41</v>
      </c>
      <c r="G74" s="1" t="s">
        <v>41</v>
      </c>
      <c r="H74" s="1" t="s">
        <v>41</v>
      </c>
      <c r="I74" s="1" t="s">
        <v>41</v>
      </c>
      <c r="J74" s="1" t="s">
        <v>41</v>
      </c>
      <c r="K74" s="1" t="s">
        <v>41</v>
      </c>
      <c r="L74" s="1" t="s">
        <v>41</v>
      </c>
      <c r="M74" s="1" t="s">
        <v>41</v>
      </c>
      <c r="N74" s="1" t="s">
        <v>52</v>
      </c>
      <c r="O74" s="1" t="s">
        <v>41</v>
      </c>
      <c r="P74" s="1" t="s">
        <v>41</v>
      </c>
      <c r="Q74" s="1" t="s">
        <v>41</v>
      </c>
      <c r="R74" s="1" t="s">
        <v>41</v>
      </c>
      <c r="S74" s="1" t="s">
        <v>52</v>
      </c>
      <c r="T74" s="1" t="s">
        <v>52</v>
      </c>
      <c r="U74" s="1" t="s">
        <v>41</v>
      </c>
      <c r="V74" s="1" t="s">
        <v>41</v>
      </c>
      <c r="W74" s="1" t="s">
        <v>41</v>
      </c>
      <c r="X74" s="1" t="s">
        <v>41</v>
      </c>
      <c r="Y74" s="1" t="s">
        <v>41</v>
      </c>
      <c r="Z74" s="1" t="s">
        <v>41</v>
      </c>
      <c r="AA74" s="1" t="s">
        <v>41</v>
      </c>
      <c r="AB74" s="1" t="s">
        <v>56</v>
      </c>
      <c r="AC74" s="1" t="s">
        <v>52</v>
      </c>
      <c r="AD74" s="1" t="s">
        <v>52</v>
      </c>
      <c r="AE74" s="1" t="s">
        <v>52</v>
      </c>
      <c r="AF74" s="1" t="s">
        <v>52</v>
      </c>
      <c r="AG74" s="1" t="s">
        <v>52</v>
      </c>
      <c r="AH74" s="134">
        <f>COUNTIF(C74:AG74,"P")</f>
        <v>22</v>
      </c>
      <c r="AI74" s="134">
        <f>COUNTIF(D74:AH74,"P/2")</f>
        <v>1</v>
      </c>
      <c r="AJ74" s="15"/>
      <c r="AK74" s="171">
        <f>COUNTIF(C76:AG76,"BAAS")</f>
        <v>0</v>
      </c>
      <c r="AL74" s="171">
        <f>COUNTIF(D76:AH76,"RCML")</f>
        <v>0</v>
      </c>
      <c r="AM74" s="171">
        <f>COUNTIF(E76:AJ76,"PRE")</f>
        <v>0</v>
      </c>
      <c r="AN74" s="171">
        <f>COUNTIF(F76:AK76,"BAKR")</f>
        <v>0</v>
      </c>
      <c r="AO74" s="171">
        <v>700</v>
      </c>
      <c r="AP74" s="171">
        <f>AO74*AI74/2</f>
        <v>350</v>
      </c>
      <c r="AQ74" s="171">
        <f>AH74*AO74+AP74</f>
        <v>15750</v>
      </c>
      <c r="AR74" s="168">
        <f>AJ75/8*AO74</f>
        <v>2975</v>
      </c>
      <c r="AS74" s="168">
        <f>AQ74+AR74</f>
        <v>18725</v>
      </c>
      <c r="AU74" s="46"/>
    </row>
    <row r="75" spans="1:48" x14ac:dyDescent="0.25">
      <c r="A75" s="132"/>
      <c r="B75" s="177"/>
      <c r="C75" s="9">
        <v>2</v>
      </c>
      <c r="D75" s="9">
        <v>5</v>
      </c>
      <c r="E75" s="9">
        <v>2</v>
      </c>
      <c r="F75" s="9">
        <v>7</v>
      </c>
      <c r="G75" s="9">
        <v>4</v>
      </c>
      <c r="H75" s="9"/>
      <c r="I75" s="9"/>
      <c r="J75" s="9"/>
      <c r="K75" s="9"/>
      <c r="L75" s="9">
        <v>3</v>
      </c>
      <c r="M75" s="9"/>
      <c r="N75" s="9"/>
      <c r="O75" s="9">
        <v>2</v>
      </c>
      <c r="P75" s="9"/>
      <c r="Q75" s="9"/>
      <c r="R75" s="9"/>
      <c r="S75" s="9"/>
      <c r="T75" s="9"/>
      <c r="U75" s="9">
        <v>2</v>
      </c>
      <c r="V75" s="9"/>
      <c r="W75" s="9"/>
      <c r="X75" s="9"/>
      <c r="Y75" s="9">
        <v>1</v>
      </c>
      <c r="Z75" s="9">
        <v>3</v>
      </c>
      <c r="AA75" s="9">
        <v>3</v>
      </c>
      <c r="AB75" s="9"/>
      <c r="AC75" s="9"/>
      <c r="AD75" s="9"/>
      <c r="AE75" s="9"/>
      <c r="AF75" s="9"/>
      <c r="AG75" s="9"/>
      <c r="AH75" s="135"/>
      <c r="AI75" s="135"/>
      <c r="AJ75" s="15">
        <f>SUM(C75:AG75)</f>
        <v>34</v>
      </c>
      <c r="AK75" s="172"/>
      <c r="AL75" s="172"/>
      <c r="AM75" s="172"/>
      <c r="AN75" s="172"/>
      <c r="AO75" s="172"/>
      <c r="AP75" s="172"/>
      <c r="AQ75" s="172"/>
      <c r="AR75" s="169"/>
      <c r="AS75" s="169"/>
      <c r="AT75">
        <v>20475</v>
      </c>
      <c r="AU75" s="46"/>
      <c r="AV75">
        <v>1750</v>
      </c>
    </row>
    <row r="76" spans="1:48" x14ac:dyDescent="0.25">
      <c r="A76" s="133"/>
      <c r="B76" s="178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36"/>
      <c r="AI76" s="136"/>
      <c r="AJ76" s="15"/>
      <c r="AK76" s="173"/>
      <c r="AL76" s="173"/>
      <c r="AM76" s="173"/>
      <c r="AN76" s="173"/>
      <c r="AO76" s="173"/>
      <c r="AP76" s="173"/>
      <c r="AQ76" s="173"/>
      <c r="AR76" s="170"/>
      <c r="AS76" s="170"/>
      <c r="AU76" s="46"/>
    </row>
    <row r="77" spans="1:48" x14ac:dyDescent="0.25">
      <c r="A77" s="131">
        <v>25</v>
      </c>
      <c r="B77" s="176" t="s">
        <v>93</v>
      </c>
      <c r="C77" s="1" t="s">
        <v>41</v>
      </c>
      <c r="D77" s="1" t="s">
        <v>41</v>
      </c>
      <c r="E77" s="1" t="s">
        <v>41</v>
      </c>
      <c r="F77" s="1" t="s">
        <v>41</v>
      </c>
      <c r="G77" s="1" t="s">
        <v>41</v>
      </c>
      <c r="H77" s="1" t="s">
        <v>41</v>
      </c>
      <c r="I77" s="1" t="s">
        <v>52</v>
      </c>
      <c r="J77" s="1" t="s">
        <v>52</v>
      </c>
      <c r="K77" s="1" t="s">
        <v>52</v>
      </c>
      <c r="L77" s="1" t="s">
        <v>52</v>
      </c>
      <c r="M77" s="1" t="s">
        <v>52</v>
      </c>
      <c r="N77" s="1" t="s">
        <v>52</v>
      </c>
      <c r="O77" s="1" t="s">
        <v>52</v>
      </c>
      <c r="P77" s="1" t="s">
        <v>52</v>
      </c>
      <c r="Q77" s="1" t="s">
        <v>52</v>
      </c>
      <c r="R77" s="1" t="s">
        <v>52</v>
      </c>
      <c r="S77" s="1" t="s">
        <v>52</v>
      </c>
      <c r="T77" s="1" t="s">
        <v>52</v>
      </c>
      <c r="U77" s="1" t="s">
        <v>52</v>
      </c>
      <c r="V77" s="1" t="s">
        <v>52</v>
      </c>
      <c r="W77" s="1" t="s">
        <v>52</v>
      </c>
      <c r="X77" s="1" t="s">
        <v>52</v>
      </c>
      <c r="Y77" s="1" t="s">
        <v>52</v>
      </c>
      <c r="Z77" s="1" t="s">
        <v>52</v>
      </c>
      <c r="AA77" s="1" t="s">
        <v>52</v>
      </c>
      <c r="AB77" s="1" t="s">
        <v>52</v>
      </c>
      <c r="AC77" s="1" t="s">
        <v>52</v>
      </c>
      <c r="AD77" s="1" t="s">
        <v>52</v>
      </c>
      <c r="AE77" s="1" t="s">
        <v>52</v>
      </c>
      <c r="AF77" s="1" t="s">
        <v>52</v>
      </c>
      <c r="AG77" s="1" t="s">
        <v>52</v>
      </c>
      <c r="AH77" s="134">
        <f>COUNTIF(C77:AG77,"P")</f>
        <v>6</v>
      </c>
      <c r="AI77" s="134">
        <f>COUNTIF(D77:AH77,"P/2")</f>
        <v>0</v>
      </c>
      <c r="AJ77" s="15"/>
      <c r="AK77" s="171">
        <f>COUNTIF(C79:AG79,"BAAS")</f>
        <v>0</v>
      </c>
      <c r="AL77" s="171">
        <f>COUNTIF(D79:AH79,"RCML")</f>
        <v>0</v>
      </c>
      <c r="AM77" s="171">
        <f>COUNTIF(E79:AJ79,"PRE")</f>
        <v>0</v>
      </c>
      <c r="AN77" s="171">
        <f>COUNTIF(F79:AK79,"BAKR")</f>
        <v>0</v>
      </c>
      <c r="AO77" s="171">
        <v>600</v>
      </c>
      <c r="AP77" s="171">
        <f>AO77*AI77/2</f>
        <v>0</v>
      </c>
      <c r="AQ77" s="171">
        <f>AH77*AO77+AP77</f>
        <v>3600</v>
      </c>
      <c r="AR77" s="168">
        <f>AJ78/8*AO77</f>
        <v>1350</v>
      </c>
      <c r="AS77" s="168">
        <f>AQ77+AR77</f>
        <v>4950</v>
      </c>
      <c r="AU77" s="46"/>
    </row>
    <row r="78" spans="1:48" x14ac:dyDescent="0.25">
      <c r="A78" s="132"/>
      <c r="B78" s="177"/>
      <c r="C78" s="9">
        <v>5</v>
      </c>
      <c r="D78" s="9">
        <v>2</v>
      </c>
      <c r="E78" s="9">
        <v>1</v>
      </c>
      <c r="F78" s="9">
        <v>6</v>
      </c>
      <c r="G78" s="9">
        <v>4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135"/>
      <c r="AI78" s="135"/>
      <c r="AJ78" s="15">
        <f>SUM(C78:AG78)</f>
        <v>18</v>
      </c>
      <c r="AK78" s="172"/>
      <c r="AL78" s="172"/>
      <c r="AM78" s="172"/>
      <c r="AN78" s="172"/>
      <c r="AO78" s="172"/>
      <c r="AP78" s="172"/>
      <c r="AQ78" s="172"/>
      <c r="AR78" s="169"/>
      <c r="AS78" s="169"/>
      <c r="AU78" s="46"/>
    </row>
    <row r="79" spans="1:48" x14ac:dyDescent="0.25">
      <c r="A79" s="133"/>
      <c r="B79" s="178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36"/>
      <c r="AI79" s="136"/>
      <c r="AJ79" s="15"/>
      <c r="AK79" s="173"/>
      <c r="AL79" s="173"/>
      <c r="AM79" s="173"/>
      <c r="AN79" s="173"/>
      <c r="AO79" s="173"/>
      <c r="AP79" s="173"/>
      <c r="AQ79" s="173"/>
      <c r="AR79" s="170"/>
      <c r="AS79" s="170"/>
      <c r="AU79" s="46"/>
    </row>
    <row r="80" spans="1:48" ht="14.45" hidden="1" customHeight="1" x14ac:dyDescent="0.25">
      <c r="B80" s="36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>
        <f>SUM(C80:AG80)</f>
        <v>0</v>
      </c>
      <c r="AR80" s="51"/>
      <c r="AS80" s="46"/>
      <c r="AU80" s="46"/>
    </row>
    <row r="81" spans="1:48" ht="14.45" hidden="1" customHeight="1" x14ac:dyDescent="0.25">
      <c r="B81" s="36"/>
      <c r="AH81">
        <f>SUM(C81:AG81)</f>
        <v>0</v>
      </c>
      <c r="AR81" s="51"/>
      <c r="AS81" s="46"/>
      <c r="AU81" s="46"/>
    </row>
    <row r="82" spans="1:48" ht="14.45" hidden="1" customHeight="1" x14ac:dyDescent="0.25">
      <c r="B82" s="36"/>
      <c r="AH82">
        <f>SUM(C82:AG82)</f>
        <v>0</v>
      </c>
      <c r="AR82" s="51"/>
      <c r="AS82" s="46"/>
      <c r="AU82" s="46"/>
    </row>
    <row r="83" spans="1:48" ht="14.45" hidden="1" customHeight="1" x14ac:dyDescent="0.25">
      <c r="B83" s="36"/>
      <c r="AH83">
        <f>SUM(C83:AG83)</f>
        <v>0</v>
      </c>
      <c r="AR83" s="51"/>
      <c r="AS83" s="46"/>
      <c r="AU83" s="46"/>
    </row>
    <row r="84" spans="1:48" ht="14.45" hidden="1" customHeight="1" x14ac:dyDescent="0.25">
      <c r="B84" s="36"/>
      <c r="AH84">
        <f>SUM(C84:AG84)</f>
        <v>0</v>
      </c>
      <c r="AR84" s="51"/>
      <c r="AS84" s="46"/>
      <c r="AU84" s="46"/>
    </row>
    <row r="85" spans="1:48" x14ac:dyDescent="0.25">
      <c r="A85" s="131">
        <v>26</v>
      </c>
      <c r="B85" s="176" t="s">
        <v>99</v>
      </c>
      <c r="C85" s="1" t="s">
        <v>41</v>
      </c>
      <c r="D85" s="1" t="s">
        <v>41</v>
      </c>
      <c r="E85" s="1" t="s">
        <v>41</v>
      </c>
      <c r="F85" s="1" t="s">
        <v>41</v>
      </c>
      <c r="G85" s="1" t="s">
        <v>41</v>
      </c>
      <c r="H85" s="1" t="s">
        <v>41</v>
      </c>
      <c r="I85" s="1" t="s">
        <v>41</v>
      </c>
      <c r="J85" s="1" t="s">
        <v>41</v>
      </c>
      <c r="K85" s="1" t="s">
        <v>41</v>
      </c>
      <c r="L85" s="1" t="s">
        <v>41</v>
      </c>
      <c r="M85" s="1" t="s">
        <v>41</v>
      </c>
      <c r="N85" s="1" t="s">
        <v>41</v>
      </c>
      <c r="O85" s="1" t="s">
        <v>41</v>
      </c>
      <c r="P85" s="1" t="s">
        <v>41</v>
      </c>
      <c r="Q85" s="1" t="s">
        <v>56</v>
      </c>
      <c r="R85" s="1" t="s">
        <v>41</v>
      </c>
      <c r="S85" s="1" t="s">
        <v>41</v>
      </c>
      <c r="T85" s="1" t="s">
        <v>41</v>
      </c>
      <c r="U85" s="1" t="s">
        <v>41</v>
      </c>
      <c r="V85" s="1" t="s">
        <v>41</v>
      </c>
      <c r="W85" s="1" t="s">
        <v>41</v>
      </c>
      <c r="X85" s="1" t="s">
        <v>41</v>
      </c>
      <c r="Y85" s="1" t="s">
        <v>41</v>
      </c>
      <c r="Z85" s="1" t="s">
        <v>41</v>
      </c>
      <c r="AA85" s="1" t="s">
        <v>41</v>
      </c>
      <c r="AB85" s="1" t="s">
        <v>41</v>
      </c>
      <c r="AC85" s="1" t="s">
        <v>41</v>
      </c>
      <c r="AD85" s="1" t="s">
        <v>41</v>
      </c>
      <c r="AE85" s="1" t="s">
        <v>41</v>
      </c>
      <c r="AF85" s="1" t="s">
        <v>41</v>
      </c>
      <c r="AG85" s="1" t="s">
        <v>52</v>
      </c>
      <c r="AH85" s="134">
        <f>COUNTIF(C85:AG85,"P")</f>
        <v>29</v>
      </c>
      <c r="AI85" s="134">
        <f>COUNTIF(D85:AH85,"P/2")</f>
        <v>1</v>
      </c>
      <c r="AJ85" s="15"/>
      <c r="AK85" s="171">
        <f>COUNTIF(C87:AG87,"BAAS")</f>
        <v>0</v>
      </c>
      <c r="AL85" s="171">
        <f>COUNTIF(D87:AH87,"RCML")</f>
        <v>0</v>
      </c>
      <c r="AM85" s="171">
        <f>COUNTIF(E87:AJ87,"PRE")</f>
        <v>0</v>
      </c>
      <c r="AN85" s="171">
        <f>COUNTIF(F87:AK87,"BAKR")</f>
        <v>0</v>
      </c>
      <c r="AO85" s="171">
        <v>900</v>
      </c>
      <c r="AP85" s="171">
        <f>AO85*AI85/2</f>
        <v>450</v>
      </c>
      <c r="AQ85" s="171">
        <f>AH85*AO85+AP85</f>
        <v>26550</v>
      </c>
      <c r="AR85" s="168">
        <f>AJ86/8*AO85</f>
        <v>9225</v>
      </c>
      <c r="AS85" s="168">
        <f>AQ85+AR85</f>
        <v>35775</v>
      </c>
      <c r="AU85" s="46"/>
    </row>
    <row r="86" spans="1:48" x14ac:dyDescent="0.25">
      <c r="A86" s="132"/>
      <c r="B86" s="177"/>
      <c r="C86" s="9">
        <v>2</v>
      </c>
      <c r="D86" s="9">
        <v>1</v>
      </c>
      <c r="E86" s="9"/>
      <c r="F86" s="9">
        <v>3</v>
      </c>
      <c r="G86" s="9">
        <v>3</v>
      </c>
      <c r="H86" s="9"/>
      <c r="I86" s="9">
        <v>4</v>
      </c>
      <c r="J86" s="9">
        <v>6</v>
      </c>
      <c r="K86" s="9">
        <v>6</v>
      </c>
      <c r="L86" s="9">
        <v>5</v>
      </c>
      <c r="M86" s="9">
        <v>2</v>
      </c>
      <c r="N86" s="9">
        <v>5</v>
      </c>
      <c r="O86" s="9">
        <v>3</v>
      </c>
      <c r="P86" s="9">
        <v>3</v>
      </c>
      <c r="Q86" s="9"/>
      <c r="R86" s="9">
        <v>2</v>
      </c>
      <c r="S86" s="9">
        <v>5</v>
      </c>
      <c r="T86" s="9">
        <v>1</v>
      </c>
      <c r="U86" s="9"/>
      <c r="V86" s="9">
        <v>3</v>
      </c>
      <c r="W86" s="9">
        <v>3</v>
      </c>
      <c r="X86" s="9">
        <v>3</v>
      </c>
      <c r="Y86" s="9">
        <v>4</v>
      </c>
      <c r="Z86" s="9">
        <v>2</v>
      </c>
      <c r="AA86" s="9">
        <v>1</v>
      </c>
      <c r="AB86" s="9">
        <v>6</v>
      </c>
      <c r="AC86" s="9">
        <v>4</v>
      </c>
      <c r="AD86" s="9">
        <v>3</v>
      </c>
      <c r="AE86" s="9">
        <v>2</v>
      </c>
      <c r="AF86" s="9"/>
      <c r="AG86" s="9"/>
      <c r="AH86" s="135"/>
      <c r="AI86" s="135"/>
      <c r="AJ86" s="15">
        <f>SUM(C86:AG86)</f>
        <v>82</v>
      </c>
      <c r="AK86" s="172"/>
      <c r="AL86" s="172"/>
      <c r="AM86" s="172"/>
      <c r="AN86" s="172"/>
      <c r="AO86" s="172"/>
      <c r="AP86" s="172"/>
      <c r="AQ86" s="172"/>
      <c r="AR86" s="169"/>
      <c r="AS86" s="169"/>
      <c r="AT86">
        <v>35550</v>
      </c>
      <c r="AU86" s="46">
        <f>AS85-AT86</f>
        <v>225</v>
      </c>
    </row>
    <row r="87" spans="1:48" x14ac:dyDescent="0.25">
      <c r="A87" s="133"/>
      <c r="B87" s="178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36"/>
      <c r="AI87" s="136"/>
      <c r="AJ87" s="15"/>
      <c r="AK87" s="173"/>
      <c r="AL87" s="173"/>
      <c r="AM87" s="173"/>
      <c r="AN87" s="173"/>
      <c r="AO87" s="173"/>
      <c r="AP87" s="173"/>
      <c r="AQ87" s="173"/>
      <c r="AR87" s="170"/>
      <c r="AS87" s="170"/>
      <c r="AU87" s="46"/>
    </row>
    <row r="88" spans="1:48" x14ac:dyDescent="0.25">
      <c r="A88" s="131">
        <v>27</v>
      </c>
      <c r="B88" s="176" t="s">
        <v>95</v>
      </c>
      <c r="C88" s="1" t="s">
        <v>52</v>
      </c>
      <c r="D88" s="1" t="s">
        <v>41</v>
      </c>
      <c r="E88" s="1" t="s">
        <v>41</v>
      </c>
      <c r="F88" s="1" t="s">
        <v>41</v>
      </c>
      <c r="G88" s="1" t="s">
        <v>41</v>
      </c>
      <c r="H88" s="1" t="s">
        <v>41</v>
      </c>
      <c r="I88" s="1" t="s">
        <v>41</v>
      </c>
      <c r="J88" s="1" t="s">
        <v>41</v>
      </c>
      <c r="K88" s="1" t="s">
        <v>41</v>
      </c>
      <c r="L88" s="1" t="s">
        <v>41</v>
      </c>
      <c r="M88" s="1" t="s">
        <v>41</v>
      </c>
      <c r="N88" s="1" t="s">
        <v>41</v>
      </c>
      <c r="O88" s="1" t="s">
        <v>41</v>
      </c>
      <c r="P88" s="1" t="s">
        <v>41</v>
      </c>
      <c r="Q88" s="1" t="s">
        <v>56</v>
      </c>
      <c r="R88" s="1" t="s">
        <v>41</v>
      </c>
      <c r="S88" s="1" t="s">
        <v>41</v>
      </c>
      <c r="T88" s="1" t="s">
        <v>41</v>
      </c>
      <c r="U88" s="1" t="s">
        <v>41</v>
      </c>
      <c r="V88" s="1" t="s">
        <v>41</v>
      </c>
      <c r="W88" s="1" t="s">
        <v>41</v>
      </c>
      <c r="X88" s="1" t="s">
        <v>41</v>
      </c>
      <c r="Y88" s="1" t="s">
        <v>41</v>
      </c>
      <c r="Z88" s="1" t="s">
        <v>41</v>
      </c>
      <c r="AA88" s="1" t="s">
        <v>41</v>
      </c>
      <c r="AB88" s="1" t="s">
        <v>41</v>
      </c>
      <c r="AC88" s="1" t="s">
        <v>41</v>
      </c>
      <c r="AD88" s="1" t="s">
        <v>41</v>
      </c>
      <c r="AE88" s="1" t="s">
        <v>41</v>
      </c>
      <c r="AF88" s="1" t="s">
        <v>41</v>
      </c>
      <c r="AG88" s="1" t="s">
        <v>52</v>
      </c>
      <c r="AH88" s="134">
        <f>COUNTIF(C88:AG88,"P")</f>
        <v>28</v>
      </c>
      <c r="AI88" s="134">
        <f>COUNTIF(D88:AH88,"P/2")</f>
        <v>1</v>
      </c>
      <c r="AJ88" s="15"/>
      <c r="AK88" s="171">
        <f>COUNTIF(C90:AG90,"BAAS")</f>
        <v>0</v>
      </c>
      <c r="AL88" s="171">
        <f>COUNTIF(D90:AH90,"RCML")</f>
        <v>0</v>
      </c>
      <c r="AM88" s="171">
        <f>COUNTIF(E90:AJ90,"PRE")</f>
        <v>0</v>
      </c>
      <c r="AN88" s="171">
        <f>COUNTIF(F90:AK90,"BAKR")</f>
        <v>0</v>
      </c>
      <c r="AO88" s="171">
        <v>700</v>
      </c>
      <c r="AP88" s="171">
        <f>AO88*AI88/2</f>
        <v>350</v>
      </c>
      <c r="AQ88" s="171">
        <f>AH88*AO88+AP88</f>
        <v>19950</v>
      </c>
      <c r="AR88" s="168">
        <f>AJ89/8*AO88</f>
        <v>7350</v>
      </c>
      <c r="AS88" s="168">
        <f>AQ88+AR88</f>
        <v>27300</v>
      </c>
      <c r="AU88" s="46"/>
    </row>
    <row r="89" spans="1:48" x14ac:dyDescent="0.25">
      <c r="A89" s="132"/>
      <c r="B89" s="177"/>
      <c r="C89" s="9"/>
      <c r="D89" s="9">
        <v>1</v>
      </c>
      <c r="E89" s="9"/>
      <c r="F89" s="9">
        <v>3</v>
      </c>
      <c r="G89" s="9">
        <v>3</v>
      </c>
      <c r="H89" s="9"/>
      <c r="I89" s="9">
        <v>4</v>
      </c>
      <c r="J89" s="9">
        <v>6</v>
      </c>
      <c r="K89" s="9">
        <v>6</v>
      </c>
      <c r="L89" s="9">
        <v>5</v>
      </c>
      <c r="M89" s="9">
        <v>2</v>
      </c>
      <c r="N89" s="9">
        <v>7</v>
      </c>
      <c r="O89" s="9">
        <v>3</v>
      </c>
      <c r="P89" s="9">
        <v>3</v>
      </c>
      <c r="Q89" s="9"/>
      <c r="R89" s="9">
        <v>4</v>
      </c>
      <c r="S89" s="9">
        <v>5</v>
      </c>
      <c r="T89" s="9">
        <v>1</v>
      </c>
      <c r="U89" s="9"/>
      <c r="V89" s="9"/>
      <c r="W89" s="9">
        <v>3</v>
      </c>
      <c r="X89" s="9">
        <v>4</v>
      </c>
      <c r="Y89" s="9">
        <v>5</v>
      </c>
      <c r="Z89" s="9">
        <v>2</v>
      </c>
      <c r="AA89" s="9">
        <v>1</v>
      </c>
      <c r="AB89" s="9">
        <v>5</v>
      </c>
      <c r="AC89" s="9">
        <v>5</v>
      </c>
      <c r="AD89" s="9">
        <v>4</v>
      </c>
      <c r="AE89" s="9">
        <v>2</v>
      </c>
      <c r="AF89" s="9"/>
      <c r="AG89" s="9"/>
      <c r="AH89" s="135"/>
      <c r="AI89" s="135"/>
      <c r="AJ89" s="15">
        <f>SUM(C89:AG89)</f>
        <v>84</v>
      </c>
      <c r="AK89" s="172"/>
      <c r="AL89" s="172"/>
      <c r="AM89" s="172"/>
      <c r="AN89" s="172"/>
      <c r="AO89" s="172"/>
      <c r="AP89" s="172"/>
      <c r="AQ89" s="172"/>
      <c r="AR89" s="169"/>
      <c r="AS89" s="169"/>
      <c r="AT89">
        <v>26687</v>
      </c>
      <c r="AU89" s="46">
        <f>AS88-AT89</f>
        <v>613</v>
      </c>
    </row>
    <row r="90" spans="1:48" x14ac:dyDescent="0.25">
      <c r="A90" s="133"/>
      <c r="B90" s="178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36"/>
      <c r="AI90" s="136"/>
      <c r="AJ90" s="15"/>
      <c r="AK90" s="173"/>
      <c r="AL90" s="173"/>
      <c r="AM90" s="173"/>
      <c r="AN90" s="173"/>
      <c r="AO90" s="173"/>
      <c r="AP90" s="173"/>
      <c r="AQ90" s="173"/>
      <c r="AR90" s="170"/>
      <c r="AS90" s="170"/>
      <c r="AU90" s="46"/>
    </row>
    <row r="91" spans="1:48" x14ac:dyDescent="0.25">
      <c r="A91" s="131">
        <v>28</v>
      </c>
      <c r="B91" s="176" t="s">
        <v>98</v>
      </c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1" t="s">
        <v>41</v>
      </c>
      <c r="T91" s="1" t="s">
        <v>41</v>
      </c>
      <c r="U91" s="1" t="s">
        <v>41</v>
      </c>
      <c r="V91" s="1" t="s">
        <v>41</v>
      </c>
      <c r="W91" s="1" t="s">
        <v>41</v>
      </c>
      <c r="X91" s="1" t="s">
        <v>41</v>
      </c>
      <c r="Y91" s="1" t="s">
        <v>41</v>
      </c>
      <c r="Z91" s="1" t="s">
        <v>41</v>
      </c>
      <c r="AA91" s="1" t="s">
        <v>41</v>
      </c>
      <c r="AB91" s="1" t="s">
        <v>41</v>
      </c>
      <c r="AC91" s="1" t="s">
        <v>41</v>
      </c>
      <c r="AD91" s="1" t="s">
        <v>41</v>
      </c>
      <c r="AE91" s="1" t="s">
        <v>41</v>
      </c>
      <c r="AF91" s="1" t="s">
        <v>41</v>
      </c>
      <c r="AG91" s="1" t="s">
        <v>52</v>
      </c>
      <c r="AH91" s="134">
        <f>COUNTIF(C91:AG91,"P")</f>
        <v>14</v>
      </c>
      <c r="AI91" s="134">
        <f>COUNTIF(D91:AH91,"P/2")</f>
        <v>0</v>
      </c>
      <c r="AJ91" s="15"/>
      <c r="AK91" s="171">
        <f>COUNTIF(C93:AG93,"BAAS")</f>
        <v>0</v>
      </c>
      <c r="AL91" s="171">
        <f>COUNTIF(D93:AH93,"RCML")</f>
        <v>0</v>
      </c>
      <c r="AM91" s="171">
        <f>COUNTIF(E93:AJ93,"PRE")</f>
        <v>0</v>
      </c>
      <c r="AN91" s="171">
        <f>COUNTIF(F93:AK93,"BAKR")</f>
        <v>0</v>
      </c>
      <c r="AO91" s="171">
        <v>800</v>
      </c>
      <c r="AP91" s="171">
        <f>AO91*AI91/2</f>
        <v>0</v>
      </c>
      <c r="AQ91" s="171">
        <f>AH91*AO91+AP91</f>
        <v>11200</v>
      </c>
      <c r="AR91" s="168">
        <f>AJ92/8*AO91</f>
        <v>3900</v>
      </c>
      <c r="AS91" s="168">
        <f>AQ91+AR91</f>
        <v>15100</v>
      </c>
      <c r="AU91" s="46"/>
    </row>
    <row r="92" spans="1:48" x14ac:dyDescent="0.25">
      <c r="A92" s="132"/>
      <c r="B92" s="177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>
        <v>3</v>
      </c>
      <c r="T92" s="9">
        <v>3</v>
      </c>
      <c r="U92" s="9"/>
      <c r="V92" s="9">
        <v>2</v>
      </c>
      <c r="W92" s="9">
        <v>3</v>
      </c>
      <c r="X92" s="9">
        <v>4</v>
      </c>
      <c r="Y92" s="9">
        <v>5</v>
      </c>
      <c r="Z92" s="9">
        <v>2</v>
      </c>
      <c r="AA92" s="9">
        <v>3</v>
      </c>
      <c r="AB92" s="9">
        <v>6</v>
      </c>
      <c r="AC92" s="9">
        <v>4</v>
      </c>
      <c r="AD92" s="9">
        <v>4</v>
      </c>
      <c r="AE92" s="9"/>
      <c r="AF92" s="9"/>
      <c r="AG92" s="9"/>
      <c r="AH92" s="135"/>
      <c r="AI92" s="135"/>
      <c r="AJ92" s="15">
        <f>SUM(C92:AG92)</f>
        <v>39</v>
      </c>
      <c r="AK92" s="172"/>
      <c r="AL92" s="172"/>
      <c r="AM92" s="172"/>
      <c r="AN92" s="172"/>
      <c r="AO92" s="172"/>
      <c r="AP92" s="172"/>
      <c r="AQ92" s="172"/>
      <c r="AR92" s="169"/>
      <c r="AS92" s="169"/>
      <c r="AU92" s="46"/>
    </row>
    <row r="93" spans="1:48" x14ac:dyDescent="0.25">
      <c r="A93" s="133"/>
      <c r="B93" s="178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36"/>
      <c r="AI93" s="136"/>
      <c r="AJ93" s="15"/>
      <c r="AK93" s="173"/>
      <c r="AL93" s="173"/>
      <c r="AM93" s="173"/>
      <c r="AN93" s="173"/>
      <c r="AO93" s="173"/>
      <c r="AP93" s="173"/>
      <c r="AQ93" s="173"/>
      <c r="AR93" s="170"/>
      <c r="AS93" s="170"/>
      <c r="AU93" s="46"/>
    </row>
    <row r="94" spans="1:48" x14ac:dyDescent="0.25">
      <c r="AH94">
        <v>574</v>
      </c>
      <c r="AI94">
        <f t="shared" ref="AI94:AN94" si="2">SUM(AI5:AI90)</f>
        <v>14</v>
      </c>
      <c r="AJ94" s="17">
        <f>SUM(AJ5:AJ90)</f>
        <v>1681</v>
      </c>
      <c r="AK94">
        <f t="shared" si="2"/>
        <v>0</v>
      </c>
      <c r="AL94">
        <f t="shared" si="2"/>
        <v>0</v>
      </c>
      <c r="AM94">
        <f t="shared" si="2"/>
        <v>0</v>
      </c>
      <c r="AN94">
        <f t="shared" si="2"/>
        <v>0</v>
      </c>
      <c r="AO94">
        <f>SUM(AO5:AO93)</f>
        <v>20000</v>
      </c>
      <c r="AP94">
        <f>SUM(AP5:AP93)</f>
        <v>5000</v>
      </c>
      <c r="AQ94" s="50">
        <f>SUM(AQ5:AQ93)</f>
        <v>505200</v>
      </c>
      <c r="AR94" s="50">
        <f>SUM(AR5:AR93)</f>
        <v>155362.5</v>
      </c>
      <c r="AS94" s="46">
        <f>SUM(AS5:AS93)</f>
        <v>660562.5</v>
      </c>
      <c r="AU94" s="46">
        <f>SUM(AU18:AU93)</f>
        <v>1913</v>
      </c>
      <c r="AV94">
        <f>SUM(AV15:AV93)</f>
        <v>2925</v>
      </c>
    </row>
    <row r="95" spans="1:48" x14ac:dyDescent="0.25">
      <c r="B95" s="33" t="s">
        <v>58</v>
      </c>
      <c r="C95" s="26">
        <v>660563</v>
      </c>
      <c r="D95" s="26"/>
    </row>
    <row r="96" spans="1:48" x14ac:dyDescent="0.25">
      <c r="B96" s="33" t="s">
        <v>82</v>
      </c>
      <c r="C96" s="26">
        <v>155000</v>
      </c>
      <c r="D96" s="26"/>
    </row>
    <row r="97" spans="2:45" x14ac:dyDescent="0.25">
      <c r="B97" s="33"/>
      <c r="C97" s="26">
        <f>C95-C96</f>
        <v>505563</v>
      </c>
      <c r="D97" s="26"/>
      <c r="AJ97"/>
      <c r="AS97" s="46"/>
    </row>
    <row r="98" spans="2:45" x14ac:dyDescent="0.25">
      <c r="B98" s="33" t="s">
        <v>84</v>
      </c>
      <c r="C98" s="26">
        <f>C97+D97</f>
        <v>505563</v>
      </c>
      <c r="D98" s="26"/>
      <c r="AJ98"/>
    </row>
  </sheetData>
  <mergeCells count="380">
    <mergeCell ref="AP3:AP4"/>
    <mergeCell ref="AO3:AO4"/>
    <mergeCell ref="AK3:AK4"/>
    <mergeCell ref="AL3:AL4"/>
    <mergeCell ref="AM3:AM4"/>
    <mergeCell ref="AN3:AN4"/>
    <mergeCell ref="AJ5:AJ7"/>
    <mergeCell ref="AJ8:AJ10"/>
    <mergeCell ref="AK91:AK93"/>
    <mergeCell ref="AL91:AL93"/>
    <mergeCell ref="AM91:AM93"/>
    <mergeCell ref="AN91:AN93"/>
    <mergeCell ref="AO91:AO93"/>
    <mergeCell ref="AP91:AP93"/>
    <mergeCell ref="AK85:AK87"/>
    <mergeCell ref="AL85:AL87"/>
    <mergeCell ref="AM85:AM87"/>
    <mergeCell ref="AN85:AN87"/>
    <mergeCell ref="AO85:AO87"/>
    <mergeCell ref="AP85:AP87"/>
    <mergeCell ref="AK74:AK76"/>
    <mergeCell ref="AL74:AL76"/>
    <mergeCell ref="AM74:AM76"/>
    <mergeCell ref="AN74:AN76"/>
    <mergeCell ref="AQ91:AQ93"/>
    <mergeCell ref="AR91:AR93"/>
    <mergeCell ref="AK88:AK90"/>
    <mergeCell ref="AL88:AL90"/>
    <mergeCell ref="AM88:AM90"/>
    <mergeCell ref="AN88:AN90"/>
    <mergeCell ref="AO88:AO90"/>
    <mergeCell ref="AP88:AP90"/>
    <mergeCell ref="AQ88:AQ90"/>
    <mergeCell ref="AR88:AR90"/>
    <mergeCell ref="AQ85:AQ87"/>
    <mergeCell ref="AR85:AR87"/>
    <mergeCell ref="AK77:AK79"/>
    <mergeCell ref="AL77:AL79"/>
    <mergeCell ref="AM77:AM79"/>
    <mergeCell ref="AN77:AN79"/>
    <mergeCell ref="AO77:AO79"/>
    <mergeCell ref="AP77:AP79"/>
    <mergeCell ref="AQ77:AQ79"/>
    <mergeCell ref="AR77:AR79"/>
    <mergeCell ref="AO74:AO76"/>
    <mergeCell ref="AP74:AP76"/>
    <mergeCell ref="AQ74:AQ76"/>
    <mergeCell ref="AR74:AR76"/>
    <mergeCell ref="AK71:AK73"/>
    <mergeCell ref="AL71:AL73"/>
    <mergeCell ref="AM71:AM73"/>
    <mergeCell ref="AN71:AN73"/>
    <mergeCell ref="AO71:AO73"/>
    <mergeCell ref="AP71:AP73"/>
    <mergeCell ref="AQ71:AQ73"/>
    <mergeCell ref="AR71:AR73"/>
    <mergeCell ref="AK68:AK70"/>
    <mergeCell ref="AL68:AL70"/>
    <mergeCell ref="AM68:AM70"/>
    <mergeCell ref="AN68:AN70"/>
    <mergeCell ref="AO68:AO70"/>
    <mergeCell ref="AP68:AP70"/>
    <mergeCell ref="AQ68:AQ70"/>
    <mergeCell ref="AR68:AR70"/>
    <mergeCell ref="AK65:AK67"/>
    <mergeCell ref="AL65:AL67"/>
    <mergeCell ref="AM65:AM67"/>
    <mergeCell ref="AN65:AN67"/>
    <mergeCell ref="AO65:AO67"/>
    <mergeCell ref="AP65:AP67"/>
    <mergeCell ref="AQ65:AQ67"/>
    <mergeCell ref="AR65:AR67"/>
    <mergeCell ref="AK62:AK64"/>
    <mergeCell ref="AL62:AL64"/>
    <mergeCell ref="AM62:AM64"/>
    <mergeCell ref="AN62:AN64"/>
    <mergeCell ref="AO62:AO64"/>
    <mergeCell ref="AP62:AP64"/>
    <mergeCell ref="AQ62:AQ64"/>
    <mergeCell ref="AR62:AR64"/>
    <mergeCell ref="AK59:AK61"/>
    <mergeCell ref="AL59:AL61"/>
    <mergeCell ref="AM59:AM61"/>
    <mergeCell ref="AN59:AN61"/>
    <mergeCell ref="AO59:AO61"/>
    <mergeCell ref="AP59:AP61"/>
    <mergeCell ref="AQ59:AQ61"/>
    <mergeCell ref="AR59:AR61"/>
    <mergeCell ref="AK56:AK58"/>
    <mergeCell ref="AL56:AL58"/>
    <mergeCell ref="AM56:AM58"/>
    <mergeCell ref="AN56:AN58"/>
    <mergeCell ref="AO56:AO58"/>
    <mergeCell ref="AP56:AP58"/>
    <mergeCell ref="AQ56:AQ58"/>
    <mergeCell ref="AR56:AR58"/>
    <mergeCell ref="AK53:AK55"/>
    <mergeCell ref="AL53:AL55"/>
    <mergeCell ref="AM53:AM55"/>
    <mergeCell ref="AN53:AN55"/>
    <mergeCell ref="AO53:AO55"/>
    <mergeCell ref="AP53:AP55"/>
    <mergeCell ref="AQ53:AQ55"/>
    <mergeCell ref="AR53:AR55"/>
    <mergeCell ref="AK50:AK52"/>
    <mergeCell ref="AL50:AL52"/>
    <mergeCell ref="AM50:AM52"/>
    <mergeCell ref="AN50:AN52"/>
    <mergeCell ref="AO50:AO52"/>
    <mergeCell ref="AP50:AP52"/>
    <mergeCell ref="AQ50:AQ52"/>
    <mergeCell ref="AR50:AR52"/>
    <mergeCell ref="AK47:AK49"/>
    <mergeCell ref="AL47:AL49"/>
    <mergeCell ref="AM47:AM49"/>
    <mergeCell ref="AN47:AN49"/>
    <mergeCell ref="AO47:AO49"/>
    <mergeCell ref="AP47:AP49"/>
    <mergeCell ref="AQ47:AQ49"/>
    <mergeCell ref="AR47:AR49"/>
    <mergeCell ref="AK44:AK46"/>
    <mergeCell ref="AL44:AL46"/>
    <mergeCell ref="AM44:AM46"/>
    <mergeCell ref="AN44:AN46"/>
    <mergeCell ref="AO44:AO46"/>
    <mergeCell ref="AP44:AP46"/>
    <mergeCell ref="AQ44:AQ46"/>
    <mergeCell ref="AR44:AR46"/>
    <mergeCell ref="AK41:AK43"/>
    <mergeCell ref="AL41:AL43"/>
    <mergeCell ref="AM41:AM43"/>
    <mergeCell ref="AN41:AN43"/>
    <mergeCell ref="AO41:AO43"/>
    <mergeCell ref="AP41:AP43"/>
    <mergeCell ref="AQ41:AQ43"/>
    <mergeCell ref="AR41:AR43"/>
    <mergeCell ref="AK38:AK40"/>
    <mergeCell ref="AL38:AL40"/>
    <mergeCell ref="AM38:AM40"/>
    <mergeCell ref="AN38:AN40"/>
    <mergeCell ref="AO38:AO40"/>
    <mergeCell ref="AP38:AP40"/>
    <mergeCell ref="AQ38:AQ40"/>
    <mergeCell ref="AR38:AR40"/>
    <mergeCell ref="AK35:AK37"/>
    <mergeCell ref="AL35:AL37"/>
    <mergeCell ref="AM35:AM37"/>
    <mergeCell ref="AN35:AN37"/>
    <mergeCell ref="AO35:AO37"/>
    <mergeCell ref="AP35:AP37"/>
    <mergeCell ref="AQ35:AQ37"/>
    <mergeCell ref="AR35:AR37"/>
    <mergeCell ref="AK32:AK34"/>
    <mergeCell ref="AL32:AL34"/>
    <mergeCell ref="AM32:AM34"/>
    <mergeCell ref="AN32:AN34"/>
    <mergeCell ref="AO32:AO34"/>
    <mergeCell ref="AP32:AP34"/>
    <mergeCell ref="AQ32:AQ34"/>
    <mergeCell ref="AR32:AR34"/>
    <mergeCell ref="AK29:AK31"/>
    <mergeCell ref="AL29:AL31"/>
    <mergeCell ref="AM29:AM31"/>
    <mergeCell ref="AN29:AN31"/>
    <mergeCell ref="AO29:AO31"/>
    <mergeCell ref="AP29:AP31"/>
    <mergeCell ref="AQ29:AQ31"/>
    <mergeCell ref="AR29:AR31"/>
    <mergeCell ref="AO23:AO25"/>
    <mergeCell ref="AP23:AP25"/>
    <mergeCell ref="AQ23:AQ25"/>
    <mergeCell ref="AR23:AR25"/>
    <mergeCell ref="AK26:AK28"/>
    <mergeCell ref="AL26:AL28"/>
    <mergeCell ref="AM26:AM28"/>
    <mergeCell ref="AN26:AN28"/>
    <mergeCell ref="AO26:AO28"/>
    <mergeCell ref="AP26:AP28"/>
    <mergeCell ref="AQ26:AQ28"/>
    <mergeCell ref="AR26:AR28"/>
    <mergeCell ref="AK17:AK19"/>
    <mergeCell ref="AL17:AL19"/>
    <mergeCell ref="AM17:AM19"/>
    <mergeCell ref="AN17:AN19"/>
    <mergeCell ref="AK20:AK22"/>
    <mergeCell ref="AL20:AL22"/>
    <mergeCell ref="AM20:AM22"/>
    <mergeCell ref="AN20:AN22"/>
    <mergeCell ref="AK23:AK25"/>
    <mergeCell ref="AL23:AL25"/>
    <mergeCell ref="AM23:AM25"/>
    <mergeCell ref="AN23:AN25"/>
    <mergeCell ref="AK8:AK10"/>
    <mergeCell ref="AL8:AL10"/>
    <mergeCell ref="AM8:AM10"/>
    <mergeCell ref="AN8:AN10"/>
    <mergeCell ref="AK11:AK13"/>
    <mergeCell ref="AL11:AL13"/>
    <mergeCell ref="AM11:AM13"/>
    <mergeCell ref="AN11:AN13"/>
    <mergeCell ref="AK14:AK16"/>
    <mergeCell ref="AL14:AL16"/>
    <mergeCell ref="AM14:AM16"/>
    <mergeCell ref="AN14:AN16"/>
    <mergeCell ref="AO17:AO19"/>
    <mergeCell ref="AP17:AP19"/>
    <mergeCell ref="AQ17:AQ19"/>
    <mergeCell ref="AR17:AR19"/>
    <mergeCell ref="AO20:AO22"/>
    <mergeCell ref="AP20:AP22"/>
    <mergeCell ref="AQ20:AQ22"/>
    <mergeCell ref="AR20:AR22"/>
    <mergeCell ref="AP11:AP13"/>
    <mergeCell ref="AQ11:AQ13"/>
    <mergeCell ref="AR11:AR13"/>
    <mergeCell ref="AO14:AO16"/>
    <mergeCell ref="AP14:AP16"/>
    <mergeCell ref="AQ14:AQ16"/>
    <mergeCell ref="AR14:AR16"/>
    <mergeCell ref="A91:A93"/>
    <mergeCell ref="B91:B93"/>
    <mergeCell ref="AH91:AH93"/>
    <mergeCell ref="AI91:AI93"/>
    <mergeCell ref="AO5:AO7"/>
    <mergeCell ref="AP5:AP7"/>
    <mergeCell ref="AQ5:AQ7"/>
    <mergeCell ref="AR5:AR7"/>
    <mergeCell ref="AK5:AK7"/>
    <mergeCell ref="AL5:AL7"/>
    <mergeCell ref="AM5:AM7"/>
    <mergeCell ref="AN5:AN7"/>
    <mergeCell ref="AO8:AO10"/>
    <mergeCell ref="AP8:AP10"/>
    <mergeCell ref="AQ8:AQ10"/>
    <mergeCell ref="AR8:AR10"/>
    <mergeCell ref="AO11:AO13"/>
    <mergeCell ref="A77:A79"/>
    <mergeCell ref="B77:B79"/>
    <mergeCell ref="AH77:AH79"/>
    <mergeCell ref="AI77:AI79"/>
    <mergeCell ref="A74:A76"/>
    <mergeCell ref="B74:B76"/>
    <mergeCell ref="AH74:AH76"/>
    <mergeCell ref="AI74:AI76"/>
    <mergeCell ref="A88:A90"/>
    <mergeCell ref="B88:B90"/>
    <mergeCell ref="AH88:AH90"/>
    <mergeCell ref="AI88:AI90"/>
    <mergeCell ref="A85:A87"/>
    <mergeCell ref="B85:B87"/>
    <mergeCell ref="AH85:AH87"/>
    <mergeCell ref="AI85:AI87"/>
    <mergeCell ref="AI62:AI64"/>
    <mergeCell ref="A65:A67"/>
    <mergeCell ref="B65:B67"/>
    <mergeCell ref="AH65:AH67"/>
    <mergeCell ref="AI65:AI67"/>
    <mergeCell ref="A62:A64"/>
    <mergeCell ref="B62:B64"/>
    <mergeCell ref="AH62:AH64"/>
    <mergeCell ref="A71:A73"/>
    <mergeCell ref="B71:B73"/>
    <mergeCell ref="AH71:AH73"/>
    <mergeCell ref="AI71:AI73"/>
    <mergeCell ref="A68:A70"/>
    <mergeCell ref="B68:B70"/>
    <mergeCell ref="AH68:AH70"/>
    <mergeCell ref="AI68:AI70"/>
    <mergeCell ref="A53:A55"/>
    <mergeCell ref="B53:B55"/>
    <mergeCell ref="AH53:AH55"/>
    <mergeCell ref="AI53:AI55"/>
    <mergeCell ref="A50:A52"/>
    <mergeCell ref="B50:B52"/>
    <mergeCell ref="AH50:AH52"/>
    <mergeCell ref="AI50:AI52"/>
    <mergeCell ref="A59:A61"/>
    <mergeCell ref="B59:B61"/>
    <mergeCell ref="AH59:AH61"/>
    <mergeCell ref="AI59:AI61"/>
    <mergeCell ref="A56:A58"/>
    <mergeCell ref="B56:B58"/>
    <mergeCell ref="AH56:AH58"/>
    <mergeCell ref="AI56:AI58"/>
    <mergeCell ref="A41:A43"/>
    <mergeCell ref="B41:B43"/>
    <mergeCell ref="AH41:AH43"/>
    <mergeCell ref="AI41:AI43"/>
    <mergeCell ref="A38:A40"/>
    <mergeCell ref="B38:B40"/>
    <mergeCell ref="AH38:AH40"/>
    <mergeCell ref="A47:A49"/>
    <mergeCell ref="B47:B49"/>
    <mergeCell ref="AH47:AH49"/>
    <mergeCell ref="AI47:AI49"/>
    <mergeCell ref="A44:A46"/>
    <mergeCell ref="B44:B46"/>
    <mergeCell ref="AH44:AH46"/>
    <mergeCell ref="AI44:AI46"/>
    <mergeCell ref="A35:A37"/>
    <mergeCell ref="B35:B37"/>
    <mergeCell ref="AH35:AH37"/>
    <mergeCell ref="AI35:AI37"/>
    <mergeCell ref="A32:A34"/>
    <mergeCell ref="B32:B34"/>
    <mergeCell ref="AH32:AH34"/>
    <mergeCell ref="AI32:AI34"/>
    <mergeCell ref="AI38:AI40"/>
    <mergeCell ref="A23:A25"/>
    <mergeCell ref="B23:B25"/>
    <mergeCell ref="AH23:AH25"/>
    <mergeCell ref="AI23:AI25"/>
    <mergeCell ref="A20:A22"/>
    <mergeCell ref="B20:B22"/>
    <mergeCell ref="AH20:AH22"/>
    <mergeCell ref="AI20:AI22"/>
    <mergeCell ref="A29:A31"/>
    <mergeCell ref="B29:B31"/>
    <mergeCell ref="AH29:AH31"/>
    <mergeCell ref="AI29:AI31"/>
    <mergeCell ref="A26:A28"/>
    <mergeCell ref="B26:B28"/>
    <mergeCell ref="AH26:AH28"/>
    <mergeCell ref="AI26:AI28"/>
    <mergeCell ref="A11:A13"/>
    <mergeCell ref="B11:B13"/>
    <mergeCell ref="AH11:AH13"/>
    <mergeCell ref="AI11:AI13"/>
    <mergeCell ref="A14:A16"/>
    <mergeCell ref="B14:B16"/>
    <mergeCell ref="AH14:AH16"/>
    <mergeCell ref="AI14:AI16"/>
    <mergeCell ref="A17:A19"/>
    <mergeCell ref="B17:B19"/>
    <mergeCell ref="AH17:AH19"/>
    <mergeCell ref="AI17:AI19"/>
    <mergeCell ref="AJ3:AJ4"/>
    <mergeCell ref="A1:AJ1"/>
    <mergeCell ref="A2:AJ2"/>
    <mergeCell ref="A3:A4"/>
    <mergeCell ref="B3:B4"/>
    <mergeCell ref="C3:AG3"/>
    <mergeCell ref="AH3:AH4"/>
    <mergeCell ref="AI3:AI4"/>
    <mergeCell ref="A8:A10"/>
    <mergeCell ref="B8:B10"/>
    <mergeCell ref="AH8:AH10"/>
    <mergeCell ref="AI8:AI10"/>
    <mergeCell ref="A5:A7"/>
    <mergeCell ref="B5:B7"/>
    <mergeCell ref="AH5:AH7"/>
    <mergeCell ref="AI5:AI7"/>
    <mergeCell ref="AS68:AS70"/>
    <mergeCell ref="AS71:AS73"/>
    <mergeCell ref="AS74:AS76"/>
    <mergeCell ref="AS77:AS79"/>
    <mergeCell ref="AS85:AS87"/>
    <mergeCell ref="AS88:AS90"/>
    <mergeCell ref="AS91:AS93"/>
    <mergeCell ref="AS17:AS19"/>
    <mergeCell ref="AS20:AS22"/>
    <mergeCell ref="AS23:AS25"/>
    <mergeCell ref="AS41:AS43"/>
    <mergeCell ref="AS44:AS46"/>
    <mergeCell ref="AS47:AS49"/>
    <mergeCell ref="AS50:AS52"/>
    <mergeCell ref="AS53:AS55"/>
    <mergeCell ref="AS56:AS58"/>
    <mergeCell ref="AS59:AS61"/>
    <mergeCell ref="AS62:AS64"/>
    <mergeCell ref="AS65:AS67"/>
    <mergeCell ref="AS5:AS7"/>
    <mergeCell ref="AS8:AS10"/>
    <mergeCell ref="AS11:AS13"/>
    <mergeCell ref="AS14:AS16"/>
    <mergeCell ref="AS26:AS28"/>
    <mergeCell ref="AS29:AS31"/>
    <mergeCell ref="AS32:AS34"/>
    <mergeCell ref="AS35:AS37"/>
    <mergeCell ref="AS38:AS40"/>
  </mergeCells>
  <conditionalFormatting sqref="G5">
    <cfRule type="containsText" dxfId="1183" priority="116" operator="containsText" text="P">
      <formula>NOT(ISERROR(SEARCH("P",G5)))</formula>
    </cfRule>
    <cfRule type="containsText" dxfId="1182" priority="123" operator="containsText" text="A">
      <formula>NOT(ISERROR(SEARCH("A",G5)))</formula>
    </cfRule>
    <cfRule type="containsText" dxfId="1181" priority="124" operator="containsText" text="P">
      <formula>NOT(ISERROR(SEARCH("P",G5)))</formula>
    </cfRule>
  </conditionalFormatting>
  <conditionalFormatting sqref="C5:AG49">
    <cfRule type="containsText" dxfId="1180" priority="122" operator="containsText" text="AB">
      <formula>NOT(ISERROR(SEARCH("AB",C5)))</formula>
    </cfRule>
  </conditionalFormatting>
  <conditionalFormatting sqref="C56:AG58">
    <cfRule type="containsText" dxfId="1179" priority="119" operator="containsText" text="AB">
      <formula>NOT(ISERROR(SEARCH("AB",C56)))</formula>
    </cfRule>
  </conditionalFormatting>
  <conditionalFormatting sqref="C50:AG52">
    <cfRule type="containsText" dxfId="1178" priority="121" operator="containsText" text="AB">
      <formula>NOT(ISERROR(SEARCH("AB",C50)))</formula>
    </cfRule>
  </conditionalFormatting>
  <conditionalFormatting sqref="C53:AG55">
    <cfRule type="containsText" dxfId="1177" priority="120" operator="containsText" text="AB">
      <formula>NOT(ISERROR(SEARCH("AB",C53)))</formula>
    </cfRule>
  </conditionalFormatting>
  <conditionalFormatting sqref="A80:AT84 A1:XFD3 A6:A58 A4 C4:AJ4 C11:AJ58 AQ4:XFD4 A5:AO5 C6:AI10 A95:XFD1048576 AT5:XFD45 AT46:AT58 AV46:XFD58 A94:AT94 AV94:XFD94 AV80:XFD84 AU46:AU94">
    <cfRule type="containsText" dxfId="1176" priority="117" operator="containsText" text="AB">
      <formula>NOT(ISERROR(SEARCH("AB",A1)))</formula>
    </cfRule>
    <cfRule type="containsText" dxfId="1175" priority="118" operator="containsText" text="AB">
      <formula>NOT(ISERROR(SEARCH("AB",A1)))</formula>
    </cfRule>
  </conditionalFormatting>
  <conditionalFormatting sqref="C59:AG61">
    <cfRule type="containsText" dxfId="1174" priority="115" operator="containsText" text="AB">
      <formula>NOT(ISERROR(SEARCH("AB",C59)))</formula>
    </cfRule>
  </conditionalFormatting>
  <conditionalFormatting sqref="A59:A61 C59:AJ61 AT59:AT61 AV59:XFD61">
    <cfRule type="containsText" dxfId="1173" priority="113" operator="containsText" text="AB">
      <formula>NOT(ISERROR(SEARCH("AB",A59)))</formula>
    </cfRule>
    <cfRule type="containsText" dxfId="1172" priority="114" operator="containsText" text="AB">
      <formula>NOT(ISERROR(SEARCH("AB",A59)))</formula>
    </cfRule>
  </conditionalFormatting>
  <conditionalFormatting sqref="AG63:AG64">
    <cfRule type="containsText" dxfId="1171" priority="112" operator="containsText" text="AB">
      <formula>NOT(ISERROR(SEARCH("AB",AG63)))</formula>
    </cfRule>
  </conditionalFormatting>
  <conditionalFormatting sqref="A62:A64 AG63:AJ64 AH62:AJ62 AT62:AT64 AV62:XFD64">
    <cfRule type="containsText" dxfId="1170" priority="110" operator="containsText" text="AB">
      <formula>NOT(ISERROR(SEARCH("AB",A62)))</formula>
    </cfRule>
    <cfRule type="containsText" dxfId="1169" priority="111" operator="containsText" text="AB">
      <formula>NOT(ISERROR(SEARCH("AB",A62)))</formula>
    </cfRule>
  </conditionalFormatting>
  <conditionalFormatting sqref="C77:AG79">
    <cfRule type="containsText" dxfId="1168" priority="98" operator="containsText" text="AB">
      <formula>NOT(ISERROR(SEARCH("AB",C77)))</formula>
    </cfRule>
  </conditionalFormatting>
  <conditionalFormatting sqref="A77:A79 C77:AJ79 AT77:AT79 AV77:XFD79">
    <cfRule type="containsText" dxfId="1167" priority="96" operator="containsText" text="AB">
      <formula>NOT(ISERROR(SEARCH("AB",A77)))</formula>
    </cfRule>
    <cfRule type="containsText" dxfId="1166" priority="97" operator="containsText" text="AB">
      <formula>NOT(ISERROR(SEARCH("AB",A77)))</formula>
    </cfRule>
  </conditionalFormatting>
  <conditionalFormatting sqref="A65:A67 AH65:AJ67 AT65:AT67 AV65:XFD67">
    <cfRule type="containsText" dxfId="1165" priority="108" operator="containsText" text="AB">
      <formula>NOT(ISERROR(SEARCH("AB",A65)))</formula>
    </cfRule>
    <cfRule type="containsText" dxfId="1164" priority="109" operator="containsText" text="AB">
      <formula>NOT(ISERROR(SEARCH("AB",A65)))</formula>
    </cfRule>
  </conditionalFormatting>
  <conditionalFormatting sqref="C68:AG70">
    <cfRule type="containsText" dxfId="1163" priority="107" operator="containsText" text="AB">
      <formula>NOT(ISERROR(SEARCH("AB",C68)))</formula>
    </cfRule>
  </conditionalFormatting>
  <conditionalFormatting sqref="A68:A70 C68:AJ70 AT68:AT70 AV68:XFD70">
    <cfRule type="containsText" dxfId="1162" priority="105" operator="containsText" text="AB">
      <formula>NOT(ISERROR(SEARCH("AB",A68)))</formula>
    </cfRule>
    <cfRule type="containsText" dxfId="1161" priority="106" operator="containsText" text="AB">
      <formula>NOT(ISERROR(SEARCH("AB",A68)))</formula>
    </cfRule>
  </conditionalFormatting>
  <conditionalFormatting sqref="C71:AG73">
    <cfRule type="containsText" dxfId="1160" priority="104" operator="containsText" text="AB">
      <formula>NOT(ISERROR(SEARCH("AB",C71)))</formula>
    </cfRule>
  </conditionalFormatting>
  <conditionalFormatting sqref="A71:A73 C71:AJ73 AT71:AT73 AV71:XFD73">
    <cfRule type="containsText" dxfId="1159" priority="102" operator="containsText" text="AB">
      <formula>NOT(ISERROR(SEARCH("AB",A71)))</formula>
    </cfRule>
    <cfRule type="containsText" dxfId="1158" priority="103" operator="containsText" text="AB">
      <formula>NOT(ISERROR(SEARCH("AB",A71)))</formula>
    </cfRule>
  </conditionalFormatting>
  <conditionalFormatting sqref="AG74:AG76">
    <cfRule type="containsText" dxfId="1157" priority="101" operator="containsText" text="AB">
      <formula>NOT(ISERROR(SEARCH("AB",AG74)))</formula>
    </cfRule>
  </conditionalFormatting>
  <conditionalFormatting sqref="A74:A76 AG74:AJ76 AT74:AT76 AV74:XFD76">
    <cfRule type="containsText" dxfId="1156" priority="99" operator="containsText" text="AB">
      <formula>NOT(ISERROR(SEARCH("AB",A74)))</formula>
    </cfRule>
    <cfRule type="containsText" dxfId="1155" priority="100" operator="containsText" text="AB">
      <formula>NOT(ISERROR(SEARCH("AB",A74)))</formula>
    </cfRule>
  </conditionalFormatting>
  <conditionalFormatting sqref="C85:AG87">
    <cfRule type="containsText" dxfId="1154" priority="95" operator="containsText" text="AB">
      <formula>NOT(ISERROR(SEARCH("AB",C85)))</formula>
    </cfRule>
  </conditionalFormatting>
  <conditionalFormatting sqref="A85:A87 C85:AJ87 AT85:AT87 AV85:XFD87">
    <cfRule type="containsText" dxfId="1153" priority="93" operator="containsText" text="AB">
      <formula>NOT(ISERROR(SEARCH("AB",A85)))</formula>
    </cfRule>
    <cfRule type="containsText" dxfId="1152" priority="94" operator="containsText" text="AB">
      <formula>NOT(ISERROR(SEARCH("AB",A85)))</formula>
    </cfRule>
  </conditionalFormatting>
  <conditionalFormatting sqref="C88:AG90">
    <cfRule type="containsText" dxfId="1151" priority="92" operator="containsText" text="AB">
      <formula>NOT(ISERROR(SEARCH("AB",C88)))</formula>
    </cfRule>
  </conditionalFormatting>
  <conditionalFormatting sqref="A88:A90 C88:AJ90 AT88:AT90 AV88:XFD90">
    <cfRule type="containsText" dxfId="1150" priority="90" operator="containsText" text="AB">
      <formula>NOT(ISERROR(SEARCH("AB",A88)))</formula>
    </cfRule>
    <cfRule type="containsText" dxfId="1149" priority="91" operator="containsText" text="AB">
      <formula>NOT(ISERROR(SEARCH("AB",A88)))</formula>
    </cfRule>
  </conditionalFormatting>
  <conditionalFormatting sqref="C63:AF64 C62:AG62">
    <cfRule type="containsText" dxfId="1148" priority="89" operator="containsText" text="AB">
      <formula>NOT(ISERROR(SEARCH("AB",C62)))</formula>
    </cfRule>
  </conditionalFormatting>
  <conditionalFormatting sqref="C63:AF64 C62:AG62">
    <cfRule type="containsText" dxfId="1147" priority="87" operator="containsText" text="AB">
      <formula>NOT(ISERROR(SEARCH("AB",C62)))</formula>
    </cfRule>
    <cfRule type="containsText" dxfId="1146" priority="88" operator="containsText" text="AB">
      <formula>NOT(ISERROR(SEARCH("AB",C62)))</formula>
    </cfRule>
  </conditionalFormatting>
  <conditionalFormatting sqref="AG65:AG67">
    <cfRule type="containsText" dxfId="1145" priority="86" operator="containsText" text="AB">
      <formula>NOT(ISERROR(SEARCH("AB",AG65)))</formula>
    </cfRule>
  </conditionalFormatting>
  <conditionalFormatting sqref="AG65:AG67">
    <cfRule type="containsText" dxfId="1144" priority="84" operator="containsText" text="AB">
      <formula>NOT(ISERROR(SEARCH("AB",AG65)))</formula>
    </cfRule>
    <cfRule type="containsText" dxfId="1143" priority="85" operator="containsText" text="AB">
      <formula>NOT(ISERROR(SEARCH("AB",AG65)))</formula>
    </cfRule>
  </conditionalFormatting>
  <conditionalFormatting sqref="C65:AF67">
    <cfRule type="containsText" dxfId="1142" priority="83" operator="containsText" text="AB">
      <formula>NOT(ISERROR(SEARCH("AB",C65)))</formula>
    </cfRule>
  </conditionalFormatting>
  <conditionalFormatting sqref="C65:AF67">
    <cfRule type="containsText" dxfId="1141" priority="81" operator="containsText" text="AB">
      <formula>NOT(ISERROR(SEARCH("AB",C65)))</formula>
    </cfRule>
    <cfRule type="containsText" dxfId="1140" priority="82" operator="containsText" text="AB">
      <formula>NOT(ISERROR(SEARCH("AB",C65)))</formula>
    </cfRule>
  </conditionalFormatting>
  <conditionalFormatting sqref="C74:AF76">
    <cfRule type="containsText" dxfId="1139" priority="80" operator="containsText" text="AB">
      <formula>NOT(ISERROR(SEARCH("AB",C74)))</formula>
    </cfRule>
  </conditionalFormatting>
  <conditionalFormatting sqref="C74:AF76">
    <cfRule type="containsText" dxfId="1138" priority="78" operator="containsText" text="AB">
      <formula>NOT(ISERROR(SEARCH("AB",C74)))</formula>
    </cfRule>
    <cfRule type="containsText" dxfId="1137" priority="79" operator="containsText" text="AB">
      <formula>NOT(ISERROR(SEARCH("AB",C74)))</formula>
    </cfRule>
  </conditionalFormatting>
  <conditionalFormatting sqref="B8">
    <cfRule type="containsText" dxfId="1136" priority="76" operator="containsText" text="AB">
      <formula>NOT(ISERROR(SEARCH("AB",B8)))</formula>
    </cfRule>
    <cfRule type="containsText" dxfId="1135" priority="77" operator="containsText" text="AB">
      <formula>NOT(ISERROR(SEARCH("AB",B8)))</formula>
    </cfRule>
  </conditionalFormatting>
  <conditionalFormatting sqref="B11">
    <cfRule type="containsText" dxfId="1134" priority="74" operator="containsText" text="AB">
      <formula>NOT(ISERROR(SEARCH("AB",B11)))</formula>
    </cfRule>
    <cfRule type="containsText" dxfId="1133" priority="75" operator="containsText" text="AB">
      <formula>NOT(ISERROR(SEARCH("AB",B11)))</formula>
    </cfRule>
  </conditionalFormatting>
  <conditionalFormatting sqref="B17">
    <cfRule type="containsText" dxfId="1132" priority="72" operator="containsText" text="AB">
      <formula>NOT(ISERROR(SEARCH("AB",B17)))</formula>
    </cfRule>
    <cfRule type="containsText" dxfId="1131" priority="73" operator="containsText" text="AB">
      <formula>NOT(ISERROR(SEARCH("AB",B17)))</formula>
    </cfRule>
  </conditionalFormatting>
  <conditionalFormatting sqref="B85">
    <cfRule type="containsText" dxfId="1130" priority="70" operator="containsText" text="AB">
      <formula>NOT(ISERROR(SEARCH("AB",B85)))</formula>
    </cfRule>
    <cfRule type="containsText" dxfId="1129" priority="71" operator="containsText" text="AB">
      <formula>NOT(ISERROR(SEARCH("AB",B85)))</formula>
    </cfRule>
  </conditionalFormatting>
  <conditionalFormatting sqref="B47">
    <cfRule type="containsText" dxfId="1128" priority="68" operator="containsText" text="AB">
      <formula>NOT(ISERROR(SEARCH("AB",B47)))</formula>
    </cfRule>
    <cfRule type="containsText" dxfId="1127" priority="69" operator="containsText" text="AB">
      <formula>NOT(ISERROR(SEARCH("AB",B47)))</formula>
    </cfRule>
  </conditionalFormatting>
  <conditionalFormatting sqref="B35">
    <cfRule type="containsText" dxfId="1126" priority="66" operator="containsText" text="AB">
      <formula>NOT(ISERROR(SEARCH("AB",B35)))</formula>
    </cfRule>
    <cfRule type="containsText" dxfId="1125" priority="67" operator="containsText" text="AB">
      <formula>NOT(ISERROR(SEARCH("AB",B35)))</formula>
    </cfRule>
  </conditionalFormatting>
  <conditionalFormatting sqref="B23">
    <cfRule type="containsText" dxfId="1124" priority="64" operator="containsText" text="AB">
      <formula>NOT(ISERROR(SEARCH("AB",B23)))</formula>
    </cfRule>
    <cfRule type="containsText" dxfId="1123" priority="65" operator="containsText" text="AB">
      <formula>NOT(ISERROR(SEARCH("AB",B23)))</formula>
    </cfRule>
  </conditionalFormatting>
  <conditionalFormatting sqref="B44">
    <cfRule type="containsText" dxfId="1122" priority="62" operator="containsText" text="AB">
      <formula>NOT(ISERROR(SEARCH("AB",B44)))</formula>
    </cfRule>
    <cfRule type="containsText" dxfId="1121" priority="63" operator="containsText" text="AB">
      <formula>NOT(ISERROR(SEARCH("AB",B44)))</formula>
    </cfRule>
  </conditionalFormatting>
  <conditionalFormatting sqref="B20">
    <cfRule type="containsText" dxfId="1120" priority="60" operator="containsText" text="AB">
      <formula>NOT(ISERROR(SEARCH("AB",B20)))</formula>
    </cfRule>
    <cfRule type="containsText" dxfId="1119" priority="61" operator="containsText" text="AB">
      <formula>NOT(ISERROR(SEARCH("AB",B20)))</formula>
    </cfRule>
  </conditionalFormatting>
  <conditionalFormatting sqref="B65">
    <cfRule type="containsText" dxfId="1118" priority="58" operator="containsText" text="AB">
      <formula>NOT(ISERROR(SEARCH("AB",B65)))</formula>
    </cfRule>
    <cfRule type="containsText" dxfId="1117" priority="59" operator="containsText" text="AB">
      <formula>NOT(ISERROR(SEARCH("AB",B65)))</formula>
    </cfRule>
  </conditionalFormatting>
  <conditionalFormatting sqref="B29">
    <cfRule type="containsText" dxfId="1116" priority="56" operator="containsText" text="AB">
      <formula>NOT(ISERROR(SEARCH("AB",B29)))</formula>
    </cfRule>
    <cfRule type="containsText" dxfId="1115" priority="57" operator="containsText" text="AB">
      <formula>NOT(ISERROR(SEARCH("AB",B29)))</formula>
    </cfRule>
  </conditionalFormatting>
  <conditionalFormatting sqref="B26">
    <cfRule type="containsText" dxfId="1114" priority="54" operator="containsText" text="AB">
      <formula>NOT(ISERROR(SEARCH("AB",B26)))</formula>
    </cfRule>
    <cfRule type="containsText" dxfId="1113" priority="55" operator="containsText" text="AB">
      <formula>NOT(ISERROR(SEARCH("AB",B26)))</formula>
    </cfRule>
  </conditionalFormatting>
  <conditionalFormatting sqref="B32">
    <cfRule type="containsText" dxfId="1112" priority="52" operator="containsText" text="AB">
      <formula>NOT(ISERROR(SEARCH("AB",B32)))</formula>
    </cfRule>
    <cfRule type="containsText" dxfId="1111" priority="53" operator="containsText" text="AB">
      <formula>NOT(ISERROR(SEARCH("AB",B32)))</formula>
    </cfRule>
  </conditionalFormatting>
  <conditionalFormatting sqref="B53">
    <cfRule type="containsText" dxfId="1110" priority="50" operator="containsText" text="AB">
      <formula>NOT(ISERROR(SEARCH("AB",B53)))</formula>
    </cfRule>
    <cfRule type="containsText" dxfId="1109" priority="51" operator="containsText" text="AB">
      <formula>NOT(ISERROR(SEARCH("AB",B53)))</formula>
    </cfRule>
  </conditionalFormatting>
  <conditionalFormatting sqref="B14">
    <cfRule type="containsText" dxfId="1108" priority="48" operator="containsText" text="AB">
      <formula>NOT(ISERROR(SEARCH("AB",B14)))</formula>
    </cfRule>
    <cfRule type="containsText" dxfId="1107" priority="49" operator="containsText" text="AB">
      <formula>NOT(ISERROR(SEARCH("AB",B14)))</formula>
    </cfRule>
  </conditionalFormatting>
  <conditionalFormatting sqref="B59">
    <cfRule type="containsText" dxfId="1106" priority="46" operator="containsText" text="AB">
      <formula>NOT(ISERROR(SEARCH("AB",B59)))</formula>
    </cfRule>
    <cfRule type="containsText" dxfId="1105" priority="47" operator="containsText" text="AB">
      <formula>NOT(ISERROR(SEARCH("AB",B59)))</formula>
    </cfRule>
  </conditionalFormatting>
  <conditionalFormatting sqref="B62">
    <cfRule type="containsText" dxfId="1104" priority="44" operator="containsText" text="AB">
      <formula>NOT(ISERROR(SEARCH("AB",B62)))</formula>
    </cfRule>
    <cfRule type="containsText" dxfId="1103" priority="45" operator="containsText" text="AB">
      <formula>NOT(ISERROR(SEARCH("AB",B62)))</formula>
    </cfRule>
  </conditionalFormatting>
  <conditionalFormatting sqref="B50">
    <cfRule type="containsText" dxfId="1102" priority="42" operator="containsText" text="AB">
      <formula>NOT(ISERROR(SEARCH("AB",B50)))</formula>
    </cfRule>
    <cfRule type="containsText" dxfId="1101" priority="43" operator="containsText" text="AB">
      <formula>NOT(ISERROR(SEARCH("AB",B50)))</formula>
    </cfRule>
  </conditionalFormatting>
  <conditionalFormatting sqref="B56">
    <cfRule type="containsText" dxfId="1100" priority="40" operator="containsText" text="AB">
      <formula>NOT(ISERROR(SEARCH("AB",B56)))</formula>
    </cfRule>
    <cfRule type="containsText" dxfId="1099" priority="41" operator="containsText" text="AB">
      <formula>NOT(ISERROR(SEARCH("AB",B56)))</formula>
    </cfRule>
  </conditionalFormatting>
  <conditionalFormatting sqref="B68">
    <cfRule type="containsText" dxfId="1098" priority="38" operator="containsText" text="AB">
      <formula>NOT(ISERROR(SEARCH("AB",B68)))</formula>
    </cfRule>
    <cfRule type="containsText" dxfId="1097" priority="39" operator="containsText" text="AB">
      <formula>NOT(ISERROR(SEARCH("AB",B68)))</formula>
    </cfRule>
  </conditionalFormatting>
  <conditionalFormatting sqref="B71">
    <cfRule type="containsText" dxfId="1096" priority="36" operator="containsText" text="AB">
      <formula>NOT(ISERROR(SEARCH("AB",B71)))</formula>
    </cfRule>
    <cfRule type="containsText" dxfId="1095" priority="37" operator="containsText" text="AB">
      <formula>NOT(ISERROR(SEARCH("AB",B71)))</formula>
    </cfRule>
  </conditionalFormatting>
  <conditionalFormatting sqref="B74">
    <cfRule type="containsText" dxfId="1094" priority="34" operator="containsText" text="AB">
      <formula>NOT(ISERROR(SEARCH("AB",B74)))</formula>
    </cfRule>
    <cfRule type="containsText" dxfId="1093" priority="35" operator="containsText" text="AB">
      <formula>NOT(ISERROR(SEARCH("AB",B74)))</formula>
    </cfRule>
  </conditionalFormatting>
  <conditionalFormatting sqref="B77">
    <cfRule type="containsText" dxfId="1092" priority="32" operator="containsText" text="AB">
      <formula>NOT(ISERROR(SEARCH("AB",B77)))</formula>
    </cfRule>
    <cfRule type="containsText" dxfId="1091" priority="33" operator="containsText" text="AB">
      <formula>NOT(ISERROR(SEARCH("AB",B77)))</formula>
    </cfRule>
  </conditionalFormatting>
  <conditionalFormatting sqref="B88">
    <cfRule type="containsText" dxfId="1090" priority="30" operator="containsText" text="AB">
      <formula>NOT(ISERROR(SEARCH("AB",B88)))</formula>
    </cfRule>
    <cfRule type="containsText" dxfId="1089" priority="31" operator="containsText" text="AB">
      <formula>NOT(ISERROR(SEARCH("AB",B88)))</formula>
    </cfRule>
  </conditionalFormatting>
  <conditionalFormatting sqref="B38">
    <cfRule type="containsText" dxfId="1088" priority="28" operator="containsText" text="AB">
      <formula>NOT(ISERROR(SEARCH("AB",B38)))</formula>
    </cfRule>
    <cfRule type="containsText" dxfId="1087" priority="29" operator="containsText" text="AB">
      <formula>NOT(ISERROR(SEARCH("AB",B38)))</formula>
    </cfRule>
  </conditionalFormatting>
  <conditionalFormatting sqref="B41">
    <cfRule type="containsText" dxfId="1086" priority="19" operator="containsText" text="AB">
      <formula>NOT(ISERROR(SEARCH("AB",B41)))</formula>
    </cfRule>
    <cfRule type="containsText" dxfId="1085" priority="20" operator="containsText" text="AB">
      <formula>NOT(ISERROR(SEARCH("AB",B41)))</formula>
    </cfRule>
  </conditionalFormatting>
  <conditionalFormatting sqref="C91:AG93">
    <cfRule type="containsText" dxfId="1084" priority="27" operator="containsText" text="AB">
      <formula>NOT(ISERROR(SEARCH("AB",C91)))</formula>
    </cfRule>
  </conditionalFormatting>
  <conditionalFormatting sqref="A91:A93 C91:AJ93 AT91:AT93 AV91:XFD93">
    <cfRule type="containsText" dxfId="1083" priority="25" operator="containsText" text="AB">
      <formula>NOT(ISERROR(SEARCH("AB",A91)))</formula>
    </cfRule>
    <cfRule type="containsText" dxfId="1082" priority="26" operator="containsText" text="AB">
      <formula>NOT(ISERROR(SEARCH("AB",A91)))</formula>
    </cfRule>
  </conditionalFormatting>
  <conditionalFormatting sqref="B91">
    <cfRule type="containsText" dxfId="1081" priority="23" operator="containsText" text="AB">
      <formula>NOT(ISERROR(SEARCH("AB",B91)))</formula>
    </cfRule>
    <cfRule type="containsText" dxfId="1080" priority="24" operator="containsText" text="AB">
      <formula>NOT(ISERROR(SEARCH("AB",B91)))</formula>
    </cfRule>
  </conditionalFormatting>
  <conditionalFormatting sqref="AP5:AS5">
    <cfRule type="containsText" dxfId="1079" priority="17" operator="containsText" text="AB">
      <formula>NOT(ISERROR(SEARCH("AB",AP5)))</formula>
    </cfRule>
    <cfRule type="containsText" dxfId="1078" priority="18" operator="containsText" text="AB">
      <formula>NOT(ISERROR(SEARCH("AB",AP5)))</formula>
    </cfRule>
  </conditionalFormatting>
  <conditionalFormatting sqref="AK85:AS85 AK88:AS88 AK91:AS91">
    <cfRule type="containsText" dxfId="1077" priority="5" operator="containsText" text="AB">
      <formula>NOT(ISERROR(SEARCH("AB",AK85)))</formula>
    </cfRule>
    <cfRule type="containsText" dxfId="1076" priority="6" operator="containsText" text="AB">
      <formula>NOT(ISERROR(SEARCH("AB",AK85)))</formula>
    </cfRule>
  </conditionalFormatting>
  <conditionalFormatting sqref="AK8:AS8 AK11:AS11 AK14:AR14 AK17:AR17 AK20:AR20 AK23:AR23 AK26:AS26 AK29:AS29 AK32:AS32">
    <cfRule type="containsText" dxfId="1075" priority="11" operator="containsText" text="AB">
      <formula>NOT(ISERROR(SEARCH("AB",AK8)))</formula>
    </cfRule>
    <cfRule type="containsText" dxfId="1074" priority="12" operator="containsText" text="AB">
      <formula>NOT(ISERROR(SEARCH("AB",AK8)))</formula>
    </cfRule>
  </conditionalFormatting>
  <conditionalFormatting sqref="AK35:AS35 AK38:AS38 AK41:AS41 AK44:AS44 AK47:AS47 AK50:AS50">
    <cfRule type="containsText" dxfId="1073" priority="9" operator="containsText" text="AB">
      <formula>NOT(ISERROR(SEARCH("AB",AK35)))</formula>
    </cfRule>
    <cfRule type="containsText" dxfId="1072" priority="10" operator="containsText" text="AB">
      <formula>NOT(ISERROR(SEARCH("AB",AK35)))</formula>
    </cfRule>
  </conditionalFormatting>
  <conditionalFormatting sqref="AK53:AS53 AK71:AS71 AK56:AS56 AK74:AS74 AK59:AS59 AK77:AS77 AK62:AS62 AK65:AS65 AK68:AS68">
    <cfRule type="containsText" dxfId="1071" priority="7" operator="containsText" text="AB">
      <formula>NOT(ISERROR(SEARCH("AB",AK53)))</formula>
    </cfRule>
    <cfRule type="containsText" dxfId="1070" priority="8" operator="containsText" text="AB">
      <formula>NOT(ISERROR(SEARCH("AB",AK53)))</formula>
    </cfRule>
  </conditionalFormatting>
  <conditionalFormatting sqref="AS14">
    <cfRule type="containsText" dxfId="1069" priority="3" operator="containsText" text="AB">
      <formula>NOT(ISERROR(SEARCH("AB",AS14)))</formula>
    </cfRule>
    <cfRule type="containsText" dxfId="1068" priority="4" operator="containsText" text="AB">
      <formula>NOT(ISERROR(SEARCH("AB",AS14)))</formula>
    </cfRule>
  </conditionalFormatting>
  <conditionalFormatting sqref="AS17 AS20 AS23">
    <cfRule type="containsText" dxfId="1067" priority="1" operator="containsText" text="AB">
      <formula>NOT(ISERROR(SEARCH("AB",AS17)))</formula>
    </cfRule>
    <cfRule type="containsText" dxfId="1066" priority="2" operator="containsText" text="AB">
      <formula>NOT(ISERROR(SEARCH("AB",AS17)))</formula>
    </cfRule>
  </conditionalFormatting>
  <pageMargins left="0.7" right="0.7" top="0.75" bottom="0.75" header="0.3" footer="0.3"/>
  <pageSetup paperSize="9" scale="31" orientation="portrait" verticalDpi="0" r:id="rId1"/>
  <ignoredErrors>
    <ignoredError sqref="AO9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43FE2-77DD-41A3-9DB8-DDC514E4FBD8}">
  <dimension ref="A1:AU74"/>
  <sheetViews>
    <sheetView zoomScale="70" zoomScaleNormal="70" workbookViewId="0">
      <pane xSplit="3" ySplit="4" topLeftCell="AH23" activePane="bottomRight" state="frozen"/>
      <selection pane="topRight" activeCell="D1" sqref="D1"/>
      <selection pane="bottomLeft" activeCell="A5" sqref="A5"/>
      <selection pane="bottomRight" activeCell="AT72" sqref="AT72"/>
    </sheetView>
  </sheetViews>
  <sheetFormatPr defaultRowHeight="15" x14ac:dyDescent="0.25"/>
  <cols>
    <col min="1" max="1" width="6.28515625" customWidth="1"/>
    <col min="2" max="2" width="24.140625" style="32" customWidth="1"/>
    <col min="3" max="3" width="9" hidden="1" customWidth="1"/>
    <col min="4" max="4" width="8" hidden="1" customWidth="1"/>
    <col min="5" max="33" width="4.85546875" hidden="1" customWidth="1"/>
    <col min="34" max="34" width="10" customWidth="1"/>
    <col min="35" max="35" width="9.7109375" customWidth="1"/>
    <col min="36" max="36" width="6.140625" style="17" customWidth="1"/>
    <col min="37" max="37" width="7.5703125" customWidth="1"/>
    <col min="38" max="38" width="6.28515625" customWidth="1"/>
    <col min="39" max="39" width="7.28515625" customWidth="1"/>
    <col min="40" max="40" width="6.7109375" customWidth="1"/>
    <col min="41" max="41" width="8.140625" customWidth="1"/>
    <col min="42" max="42" width="8.5703125" customWidth="1"/>
    <col min="43" max="43" width="8.85546875" style="50" customWidth="1"/>
    <col min="44" max="44" width="8.140625" style="50" customWidth="1"/>
    <col min="45" max="45" width="12.7109375" customWidth="1"/>
    <col min="46" max="48" width="8.85546875" customWidth="1"/>
  </cols>
  <sheetData>
    <row r="1" spans="1:47" ht="28.5" x14ac:dyDescent="0.25">
      <c r="A1" s="142" t="s">
        <v>40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4"/>
      <c r="AK1" s="39"/>
      <c r="AL1" s="40"/>
      <c r="AM1" s="40"/>
      <c r="AN1" s="40"/>
      <c r="AO1" s="40"/>
      <c r="AP1" s="40"/>
      <c r="AQ1" s="48"/>
      <c r="AR1" s="48"/>
      <c r="AS1" s="41"/>
    </row>
    <row r="2" spans="1:47" ht="21.75" x14ac:dyDescent="0.25">
      <c r="A2" s="148" t="s">
        <v>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50"/>
      <c r="AK2" s="42" t="s">
        <v>47</v>
      </c>
      <c r="AL2" s="42"/>
      <c r="AM2" s="42"/>
      <c r="AN2" s="42"/>
      <c r="AO2" s="42" t="s">
        <v>48</v>
      </c>
      <c r="AP2" s="42"/>
      <c r="AQ2" s="49"/>
      <c r="AR2" s="49"/>
      <c r="AS2" s="43"/>
    </row>
    <row r="3" spans="1:47" ht="27" customHeight="1" x14ac:dyDescent="0.25">
      <c r="A3" s="153" t="s">
        <v>2</v>
      </c>
      <c r="B3" s="174" t="s">
        <v>1</v>
      </c>
      <c r="C3" s="155" t="s">
        <v>102</v>
      </c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6" t="s">
        <v>53</v>
      </c>
      <c r="AI3" s="157" t="s">
        <v>54</v>
      </c>
      <c r="AJ3" s="157" t="s">
        <v>0</v>
      </c>
      <c r="AK3" s="157" t="s">
        <v>42</v>
      </c>
      <c r="AL3" s="157" t="s">
        <v>43</v>
      </c>
      <c r="AM3" s="157" t="s">
        <v>44</v>
      </c>
      <c r="AN3" s="157" t="s">
        <v>45</v>
      </c>
      <c r="AO3" s="157" t="s">
        <v>46</v>
      </c>
      <c r="AP3" s="157" t="s">
        <v>55</v>
      </c>
      <c r="AQ3" s="37" t="s">
        <v>59</v>
      </c>
      <c r="AR3" s="37" t="s">
        <v>57</v>
      </c>
      <c r="AS3" s="44" t="s">
        <v>58</v>
      </c>
    </row>
    <row r="4" spans="1:47" ht="27" customHeight="1" x14ac:dyDescent="0.25">
      <c r="A4" s="153"/>
      <c r="B4" s="175"/>
      <c r="C4" s="47">
        <v>1</v>
      </c>
      <c r="D4" s="47">
        <v>2</v>
      </c>
      <c r="E4" s="47">
        <v>3</v>
      </c>
      <c r="F4" s="47">
        <v>4</v>
      </c>
      <c r="G4" s="47">
        <v>5</v>
      </c>
      <c r="H4" s="47">
        <v>6</v>
      </c>
      <c r="I4" s="47">
        <v>7</v>
      </c>
      <c r="J4" s="47">
        <v>8</v>
      </c>
      <c r="K4" s="47">
        <v>9</v>
      </c>
      <c r="L4" s="47">
        <v>10</v>
      </c>
      <c r="M4" s="47">
        <v>11</v>
      </c>
      <c r="N4" s="47">
        <v>12</v>
      </c>
      <c r="O4" s="47">
        <v>13</v>
      </c>
      <c r="P4" s="47">
        <v>14</v>
      </c>
      <c r="Q4" s="47">
        <v>15</v>
      </c>
      <c r="R4" s="47">
        <v>16</v>
      </c>
      <c r="S4" s="47">
        <v>17</v>
      </c>
      <c r="T4" s="47">
        <v>18</v>
      </c>
      <c r="U4" s="47">
        <v>19</v>
      </c>
      <c r="V4" s="47">
        <v>20</v>
      </c>
      <c r="W4" s="47">
        <v>21</v>
      </c>
      <c r="X4" s="47">
        <v>22</v>
      </c>
      <c r="Y4" s="47">
        <v>23</v>
      </c>
      <c r="Z4" s="47">
        <v>24</v>
      </c>
      <c r="AA4" s="47">
        <v>25</v>
      </c>
      <c r="AB4" s="47">
        <v>26</v>
      </c>
      <c r="AC4" s="47">
        <v>27</v>
      </c>
      <c r="AD4" s="47">
        <v>28</v>
      </c>
      <c r="AE4" s="47">
        <v>29</v>
      </c>
      <c r="AF4" s="47">
        <v>30</v>
      </c>
      <c r="AG4" s="47"/>
      <c r="AH4" s="156"/>
      <c r="AI4" s="158"/>
      <c r="AJ4" s="158"/>
      <c r="AK4" s="158"/>
      <c r="AL4" s="158"/>
      <c r="AM4" s="158"/>
      <c r="AN4" s="158"/>
      <c r="AO4" s="158"/>
      <c r="AP4" s="158"/>
      <c r="AQ4" s="38"/>
      <c r="AR4" s="38"/>
      <c r="AS4" s="45"/>
    </row>
    <row r="5" spans="1:47" x14ac:dyDescent="0.25">
      <c r="A5" s="131">
        <v>1</v>
      </c>
      <c r="B5" s="182" t="s">
        <v>61</v>
      </c>
      <c r="C5" s="1" t="s">
        <v>52</v>
      </c>
      <c r="D5" s="1" t="s">
        <v>52</v>
      </c>
      <c r="E5" s="1" t="s">
        <v>41</v>
      </c>
      <c r="F5" s="1" t="s">
        <v>41</v>
      </c>
      <c r="G5" s="1" t="s">
        <v>41</v>
      </c>
      <c r="H5" s="1" t="s">
        <v>41</v>
      </c>
      <c r="I5" s="1" t="s">
        <v>56</v>
      </c>
      <c r="J5" s="1" t="s">
        <v>41</v>
      </c>
      <c r="K5" s="1" t="s">
        <v>41</v>
      </c>
      <c r="L5" s="1" t="s">
        <v>41</v>
      </c>
      <c r="M5" s="1" t="s">
        <v>41</v>
      </c>
      <c r="N5" s="1" t="s">
        <v>52</v>
      </c>
      <c r="O5" s="1" t="s">
        <v>41</v>
      </c>
      <c r="P5" s="1" t="s">
        <v>41</v>
      </c>
      <c r="Q5" s="1" t="s">
        <v>41</v>
      </c>
      <c r="R5" s="1" t="s">
        <v>41</v>
      </c>
      <c r="S5" s="1" t="s">
        <v>41</v>
      </c>
      <c r="T5" s="1" t="s">
        <v>52</v>
      </c>
      <c r="U5" s="1" t="s">
        <v>41</v>
      </c>
      <c r="V5" s="1" t="s">
        <v>41</v>
      </c>
      <c r="W5" s="1" t="s">
        <v>41</v>
      </c>
      <c r="X5" s="1" t="s">
        <v>41</v>
      </c>
      <c r="Y5" s="1" t="s">
        <v>41</v>
      </c>
      <c r="Z5" s="1" t="s">
        <v>41</v>
      </c>
      <c r="AA5" s="1" t="s">
        <v>41</v>
      </c>
      <c r="AB5" s="1" t="s">
        <v>52</v>
      </c>
      <c r="AC5" s="1" t="s">
        <v>41</v>
      </c>
      <c r="AD5" s="1" t="s">
        <v>41</v>
      </c>
      <c r="AE5" s="1" t="s">
        <v>41</v>
      </c>
      <c r="AF5" s="1" t="s">
        <v>52</v>
      </c>
      <c r="AG5" s="1"/>
      <c r="AH5" s="134">
        <f>COUNTIF(C5:AG5,"P")</f>
        <v>23</v>
      </c>
      <c r="AI5" s="134">
        <f>COUNTIF(D5:AH5,"P/2")</f>
        <v>1</v>
      </c>
      <c r="AJ5" s="179">
        <f>SUM(C6:AG6)</f>
        <v>70</v>
      </c>
      <c r="AK5" s="171">
        <f>COUNTIF(C7:AG7,"BAAS")</f>
        <v>0</v>
      </c>
      <c r="AL5" s="171">
        <f>COUNTIF(D7:AH7,"BAAS")</f>
        <v>0</v>
      </c>
      <c r="AM5" s="171">
        <f>COUNTIF(E7:AI7,"BAAS")</f>
        <v>0</v>
      </c>
      <c r="AN5" s="171">
        <f>COUNTIF(F7:AJ7,"BAAS")</f>
        <v>0</v>
      </c>
      <c r="AO5" s="171">
        <v>900</v>
      </c>
      <c r="AP5" s="139">
        <f>AO5*AI5/2</f>
        <v>450</v>
      </c>
      <c r="AQ5" s="171">
        <f>AH5*AO5+AP5</f>
        <v>21150</v>
      </c>
      <c r="AR5" s="168">
        <f>AJ5/8*AO5</f>
        <v>7875</v>
      </c>
      <c r="AS5" s="165">
        <f>AQ5+AR5</f>
        <v>29025</v>
      </c>
    </row>
    <row r="6" spans="1:47" x14ac:dyDescent="0.25">
      <c r="A6" s="132"/>
      <c r="B6" s="183"/>
      <c r="C6" s="13" t="s">
        <v>103</v>
      </c>
      <c r="D6" s="13" t="s">
        <v>103</v>
      </c>
      <c r="E6" s="13" t="s">
        <v>103</v>
      </c>
      <c r="F6" s="13">
        <v>2</v>
      </c>
      <c r="G6" s="13">
        <v>5</v>
      </c>
      <c r="H6" s="13">
        <v>3</v>
      </c>
      <c r="I6" s="13" t="s">
        <v>103</v>
      </c>
      <c r="J6" s="13">
        <v>5</v>
      </c>
      <c r="K6" s="13">
        <v>5</v>
      </c>
      <c r="L6" s="13">
        <v>4</v>
      </c>
      <c r="M6" s="13">
        <v>1</v>
      </c>
      <c r="N6" s="13" t="s">
        <v>103</v>
      </c>
      <c r="O6" s="13" t="s">
        <v>103</v>
      </c>
      <c r="P6" s="13">
        <v>2</v>
      </c>
      <c r="Q6" s="13">
        <v>6</v>
      </c>
      <c r="R6" s="13">
        <v>4</v>
      </c>
      <c r="S6" s="13">
        <v>6</v>
      </c>
      <c r="T6" s="13" t="s">
        <v>103</v>
      </c>
      <c r="U6" s="13">
        <v>5</v>
      </c>
      <c r="V6" s="13">
        <v>3</v>
      </c>
      <c r="W6" s="13">
        <v>5</v>
      </c>
      <c r="X6" s="13">
        <v>4</v>
      </c>
      <c r="Y6" s="13">
        <v>2</v>
      </c>
      <c r="Z6" s="13" t="s">
        <v>103</v>
      </c>
      <c r="AA6" s="13">
        <v>2</v>
      </c>
      <c r="AB6" s="13" t="s">
        <v>103</v>
      </c>
      <c r="AC6" s="13">
        <v>2</v>
      </c>
      <c r="AD6" s="13">
        <v>4</v>
      </c>
      <c r="AE6" s="13"/>
      <c r="AF6" s="13"/>
      <c r="AG6" s="13"/>
      <c r="AH6" s="135"/>
      <c r="AI6" s="135"/>
      <c r="AJ6" s="180"/>
      <c r="AK6" s="172"/>
      <c r="AL6" s="172"/>
      <c r="AM6" s="172"/>
      <c r="AN6" s="172"/>
      <c r="AO6" s="172"/>
      <c r="AP6" s="140"/>
      <c r="AQ6" s="172"/>
      <c r="AR6" s="169"/>
      <c r="AS6" s="166"/>
    </row>
    <row r="7" spans="1:47" x14ac:dyDescent="0.25">
      <c r="A7" s="133"/>
      <c r="B7" s="184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36"/>
      <c r="AI7" s="136"/>
      <c r="AJ7" s="181"/>
      <c r="AK7" s="173"/>
      <c r="AL7" s="173"/>
      <c r="AM7" s="173"/>
      <c r="AN7" s="173"/>
      <c r="AO7" s="173"/>
      <c r="AP7" s="141"/>
      <c r="AQ7" s="173"/>
      <c r="AR7" s="170"/>
      <c r="AS7" s="167"/>
    </row>
    <row r="8" spans="1:47" x14ac:dyDescent="0.25">
      <c r="A8" s="131">
        <v>2</v>
      </c>
      <c r="B8" s="182" t="s">
        <v>66</v>
      </c>
      <c r="C8" s="1" t="s">
        <v>52</v>
      </c>
      <c r="D8" s="1" t="s">
        <v>52</v>
      </c>
      <c r="E8" s="1" t="s">
        <v>41</v>
      </c>
      <c r="F8" s="1" t="s">
        <v>41</v>
      </c>
      <c r="G8" s="1" t="s">
        <v>41</v>
      </c>
      <c r="H8" s="1" t="s">
        <v>41</v>
      </c>
      <c r="I8" s="1" t="s">
        <v>41</v>
      </c>
      <c r="J8" s="1" t="s">
        <v>41</v>
      </c>
      <c r="K8" s="1" t="s">
        <v>41</v>
      </c>
      <c r="L8" s="1" t="s">
        <v>41</v>
      </c>
      <c r="M8" s="1" t="s">
        <v>41</v>
      </c>
      <c r="N8" s="1" t="s">
        <v>41</v>
      </c>
      <c r="O8" s="1" t="s">
        <v>41</v>
      </c>
      <c r="P8" s="1" t="s">
        <v>41</v>
      </c>
      <c r="Q8" s="1" t="s">
        <v>52</v>
      </c>
      <c r="R8" s="1" t="s">
        <v>41</v>
      </c>
      <c r="S8" s="1" t="s">
        <v>41</v>
      </c>
      <c r="T8" s="1" t="s">
        <v>41</v>
      </c>
      <c r="U8" s="1" t="s">
        <v>41</v>
      </c>
      <c r="V8" s="1" t="s">
        <v>41</v>
      </c>
      <c r="W8" s="1" t="s">
        <v>41</v>
      </c>
      <c r="X8" s="1" t="s">
        <v>41</v>
      </c>
      <c r="Y8" s="1" t="s">
        <v>41</v>
      </c>
      <c r="Z8" s="1" t="s">
        <v>41</v>
      </c>
      <c r="AA8" s="1" t="s">
        <v>41</v>
      </c>
      <c r="AB8" s="1" t="s">
        <v>41</v>
      </c>
      <c r="AC8" s="1" t="s">
        <v>41</v>
      </c>
      <c r="AD8" s="1" t="s">
        <v>41</v>
      </c>
      <c r="AE8" s="1" t="s">
        <v>41</v>
      </c>
      <c r="AF8" s="1" t="s">
        <v>41</v>
      </c>
      <c r="AG8" s="1"/>
      <c r="AH8" s="134">
        <f>COUNTIF(C8:AG8,"P")</f>
        <v>27</v>
      </c>
      <c r="AI8" s="134">
        <f>COUNTIF(D8:AH8,"P/2")</f>
        <v>0</v>
      </c>
      <c r="AJ8" s="14"/>
      <c r="AK8" s="171">
        <f>COUNTIF(C10:AG10,"BAAS")</f>
        <v>0</v>
      </c>
      <c r="AL8" s="171">
        <f>COUNTIF(D10:AH10,"RCML")</f>
        <v>0</v>
      </c>
      <c r="AM8" s="171">
        <f>COUNTIF(E10:AJ10,"PRE")</f>
        <v>0</v>
      </c>
      <c r="AN8" s="171">
        <f>COUNTIF(F10:AK10,"BAKR")</f>
        <v>0</v>
      </c>
      <c r="AO8" s="171">
        <v>800</v>
      </c>
      <c r="AP8" s="171">
        <f>AO8*AI8/2</f>
        <v>0</v>
      </c>
      <c r="AQ8" s="171">
        <f>AH8*AO8+AP8</f>
        <v>21600</v>
      </c>
      <c r="AR8" s="168">
        <f>AJ9/8*AO8</f>
        <v>6400</v>
      </c>
      <c r="AS8" s="171">
        <f>AQ8+AR8</f>
        <v>28000</v>
      </c>
      <c r="AU8" s="46"/>
    </row>
    <row r="9" spans="1:47" x14ac:dyDescent="0.25">
      <c r="A9" s="132"/>
      <c r="B9" s="183"/>
      <c r="C9" s="13" t="s">
        <v>103</v>
      </c>
      <c r="D9" s="13" t="s">
        <v>103</v>
      </c>
      <c r="E9" s="13" t="s">
        <v>103</v>
      </c>
      <c r="F9" s="13" t="s">
        <v>103</v>
      </c>
      <c r="G9" s="9">
        <v>1</v>
      </c>
      <c r="H9" s="9">
        <v>2</v>
      </c>
      <c r="I9" s="9" t="s">
        <v>103</v>
      </c>
      <c r="J9" s="9">
        <v>4</v>
      </c>
      <c r="K9" s="9">
        <v>1</v>
      </c>
      <c r="L9" s="9" t="s">
        <v>103</v>
      </c>
      <c r="M9" s="9">
        <v>3</v>
      </c>
      <c r="N9" s="9">
        <v>7</v>
      </c>
      <c r="O9" s="9">
        <v>3</v>
      </c>
      <c r="P9" s="9">
        <v>5</v>
      </c>
      <c r="Q9" s="9" t="s">
        <v>103</v>
      </c>
      <c r="R9" s="9">
        <v>6</v>
      </c>
      <c r="S9" s="9">
        <v>4</v>
      </c>
      <c r="T9" s="9">
        <v>7</v>
      </c>
      <c r="U9" s="9">
        <v>2</v>
      </c>
      <c r="V9" s="9" t="s">
        <v>103</v>
      </c>
      <c r="W9" s="9" t="s">
        <v>103</v>
      </c>
      <c r="X9" s="9" t="s">
        <v>103</v>
      </c>
      <c r="Y9" s="9">
        <v>2</v>
      </c>
      <c r="Z9" s="9" t="s">
        <v>103</v>
      </c>
      <c r="AA9" s="9">
        <v>1</v>
      </c>
      <c r="AB9" s="9">
        <v>3</v>
      </c>
      <c r="AC9" s="9">
        <v>3</v>
      </c>
      <c r="AD9" s="9">
        <v>2</v>
      </c>
      <c r="AE9" s="9">
        <v>4</v>
      </c>
      <c r="AF9" s="9">
        <v>4</v>
      </c>
      <c r="AG9" s="9"/>
      <c r="AH9" s="135"/>
      <c r="AI9" s="135"/>
      <c r="AJ9" s="15">
        <f>SUM(C9:AG9)</f>
        <v>64</v>
      </c>
      <c r="AK9" s="172"/>
      <c r="AL9" s="172"/>
      <c r="AM9" s="172"/>
      <c r="AN9" s="172"/>
      <c r="AO9" s="172"/>
      <c r="AP9" s="172"/>
      <c r="AQ9" s="172"/>
      <c r="AR9" s="169"/>
      <c r="AS9" s="172"/>
      <c r="AU9" s="46"/>
    </row>
    <row r="10" spans="1:47" x14ac:dyDescent="0.25">
      <c r="A10" s="133"/>
      <c r="B10" s="184"/>
      <c r="C10" s="9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36"/>
      <c r="AI10" s="136"/>
      <c r="AJ10" s="16"/>
      <c r="AK10" s="173"/>
      <c r="AL10" s="173"/>
      <c r="AM10" s="173"/>
      <c r="AN10" s="173"/>
      <c r="AO10" s="173"/>
      <c r="AP10" s="173"/>
      <c r="AQ10" s="173"/>
      <c r="AR10" s="170"/>
      <c r="AS10" s="173"/>
      <c r="AU10" s="46"/>
    </row>
    <row r="11" spans="1:47" x14ac:dyDescent="0.25">
      <c r="A11" s="131">
        <v>3</v>
      </c>
      <c r="B11" s="182" t="s">
        <v>65</v>
      </c>
      <c r="C11" s="1" t="s">
        <v>52</v>
      </c>
      <c r="D11" s="1" t="s">
        <v>52</v>
      </c>
      <c r="E11" s="1" t="s">
        <v>41</v>
      </c>
      <c r="F11" s="1" t="s">
        <v>41</v>
      </c>
      <c r="G11" s="1" t="s">
        <v>41</v>
      </c>
      <c r="H11" s="1" t="s">
        <v>41</v>
      </c>
      <c r="I11" s="1" t="s">
        <v>56</v>
      </c>
      <c r="J11" s="1" t="s">
        <v>41</v>
      </c>
      <c r="K11" s="1" t="s">
        <v>41</v>
      </c>
      <c r="L11" s="1" t="s">
        <v>41</v>
      </c>
      <c r="M11" s="1" t="s">
        <v>41</v>
      </c>
      <c r="N11" s="1" t="s">
        <v>52</v>
      </c>
      <c r="O11" s="1" t="s">
        <v>41</v>
      </c>
      <c r="P11" s="1" t="s">
        <v>41</v>
      </c>
      <c r="Q11" s="1" t="s">
        <v>41</v>
      </c>
      <c r="R11" s="1" t="s">
        <v>41</v>
      </c>
      <c r="S11" s="1" t="s">
        <v>41</v>
      </c>
      <c r="T11" s="1" t="s">
        <v>41</v>
      </c>
      <c r="U11" s="1" t="s">
        <v>41</v>
      </c>
      <c r="V11" s="1" t="s">
        <v>41</v>
      </c>
      <c r="W11" s="1" t="s">
        <v>41</v>
      </c>
      <c r="X11" s="1" t="s">
        <v>41</v>
      </c>
      <c r="Y11" s="1" t="s">
        <v>41</v>
      </c>
      <c r="Z11" s="1" t="s">
        <v>41</v>
      </c>
      <c r="AA11" s="1" t="s">
        <v>41</v>
      </c>
      <c r="AB11" s="1" t="s">
        <v>52</v>
      </c>
      <c r="AC11" s="1" t="s">
        <v>41</v>
      </c>
      <c r="AD11" s="1" t="s">
        <v>41</v>
      </c>
      <c r="AE11" s="1" t="s">
        <v>41</v>
      </c>
      <c r="AF11" s="1" t="s">
        <v>52</v>
      </c>
      <c r="AG11" s="1"/>
      <c r="AH11" s="134">
        <f>COUNTIF(C11:AG11,"P")</f>
        <v>24</v>
      </c>
      <c r="AI11" s="134">
        <f>COUNTIF(D11:AH11,"P/2")</f>
        <v>1</v>
      </c>
      <c r="AJ11" s="14"/>
      <c r="AK11" s="171">
        <f>COUNTIF(C13:AG13,"BAAS")</f>
        <v>0</v>
      </c>
      <c r="AL11" s="171">
        <f>COUNTIF(D13:AH13,"RCML")</f>
        <v>0</v>
      </c>
      <c r="AM11" s="171">
        <f>COUNTIF(E13:AJ13,"PRE")</f>
        <v>0</v>
      </c>
      <c r="AN11" s="171">
        <f>COUNTIF(F13:AK13,"BAKR")</f>
        <v>0</v>
      </c>
      <c r="AO11" s="171">
        <v>700</v>
      </c>
      <c r="AP11" s="171">
        <f>AO11*AI11/2</f>
        <v>350</v>
      </c>
      <c r="AQ11" s="171">
        <f>AH11*AO11+AP11</f>
        <v>17150</v>
      </c>
      <c r="AR11" s="168">
        <f>AJ12/8*AO11</f>
        <v>5775</v>
      </c>
      <c r="AS11" s="168">
        <f>AQ11+AR11</f>
        <v>22925</v>
      </c>
      <c r="AU11" s="46"/>
    </row>
    <row r="12" spans="1:47" x14ac:dyDescent="0.25">
      <c r="A12" s="132"/>
      <c r="B12" s="183"/>
      <c r="C12" s="13" t="s">
        <v>103</v>
      </c>
      <c r="D12" s="13" t="s">
        <v>103</v>
      </c>
      <c r="E12" s="9" t="s">
        <v>103</v>
      </c>
      <c r="F12" s="9">
        <v>2</v>
      </c>
      <c r="G12" s="9">
        <v>5</v>
      </c>
      <c r="H12" s="9">
        <v>4</v>
      </c>
      <c r="I12" s="9" t="s">
        <v>103</v>
      </c>
      <c r="J12" s="9">
        <v>5</v>
      </c>
      <c r="K12" s="9">
        <v>5</v>
      </c>
      <c r="L12" s="9">
        <v>4</v>
      </c>
      <c r="M12" s="9">
        <v>3</v>
      </c>
      <c r="N12" s="9" t="s">
        <v>103</v>
      </c>
      <c r="O12" s="9">
        <v>2</v>
      </c>
      <c r="P12" s="9">
        <v>2</v>
      </c>
      <c r="Q12" s="9">
        <v>3</v>
      </c>
      <c r="R12" s="9">
        <v>5</v>
      </c>
      <c r="S12" s="9" t="s">
        <v>103</v>
      </c>
      <c r="T12" s="9">
        <v>3</v>
      </c>
      <c r="U12" s="9">
        <v>2</v>
      </c>
      <c r="V12" s="9">
        <v>2</v>
      </c>
      <c r="W12" s="9">
        <v>2</v>
      </c>
      <c r="X12" s="9">
        <v>2</v>
      </c>
      <c r="Y12" s="9">
        <v>3</v>
      </c>
      <c r="Z12" s="9">
        <v>7</v>
      </c>
      <c r="AA12" s="9">
        <v>2</v>
      </c>
      <c r="AB12" s="9" t="s">
        <v>103</v>
      </c>
      <c r="AC12" s="9" t="s">
        <v>103</v>
      </c>
      <c r="AD12" s="9">
        <v>3</v>
      </c>
      <c r="AE12" s="9" t="s">
        <v>103</v>
      </c>
      <c r="AF12" s="9" t="s">
        <v>103</v>
      </c>
      <c r="AG12" s="9"/>
      <c r="AH12" s="135"/>
      <c r="AI12" s="135"/>
      <c r="AJ12" s="15">
        <f>SUM(C12:AG12)</f>
        <v>66</v>
      </c>
      <c r="AK12" s="172"/>
      <c r="AL12" s="172"/>
      <c r="AM12" s="172"/>
      <c r="AN12" s="172"/>
      <c r="AO12" s="172"/>
      <c r="AP12" s="172"/>
      <c r="AQ12" s="172"/>
      <c r="AR12" s="169"/>
      <c r="AS12" s="169"/>
      <c r="AT12">
        <v>23</v>
      </c>
      <c r="AU12" s="46">
        <v>60</v>
      </c>
    </row>
    <row r="13" spans="1:47" x14ac:dyDescent="0.25">
      <c r="A13" s="133"/>
      <c r="B13" s="184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36"/>
      <c r="AI13" s="136"/>
      <c r="AJ13" s="16"/>
      <c r="AK13" s="173"/>
      <c r="AL13" s="173"/>
      <c r="AM13" s="173"/>
      <c r="AN13" s="173"/>
      <c r="AO13" s="173"/>
      <c r="AP13" s="173"/>
      <c r="AQ13" s="173"/>
      <c r="AR13" s="170"/>
      <c r="AS13" s="170"/>
      <c r="AU13" s="46"/>
    </row>
    <row r="14" spans="1:47" x14ac:dyDescent="0.25">
      <c r="A14" s="131">
        <v>4</v>
      </c>
      <c r="B14" s="182" t="s">
        <v>69</v>
      </c>
      <c r="C14" s="1" t="s">
        <v>52</v>
      </c>
      <c r="D14" s="1" t="s">
        <v>52</v>
      </c>
      <c r="E14" s="1" t="s">
        <v>41</v>
      </c>
      <c r="F14" s="1" t="s">
        <v>41</v>
      </c>
      <c r="G14" s="1" t="s">
        <v>41</v>
      </c>
      <c r="H14" s="1" t="s">
        <v>41</v>
      </c>
      <c r="I14" s="1" t="s">
        <v>52</v>
      </c>
      <c r="J14" s="1" t="s">
        <v>41</v>
      </c>
      <c r="K14" s="1" t="s">
        <v>41</v>
      </c>
      <c r="L14" s="1" t="s">
        <v>41</v>
      </c>
      <c r="M14" s="1" t="s">
        <v>52</v>
      </c>
      <c r="N14" s="1" t="s">
        <v>52</v>
      </c>
      <c r="O14" s="1" t="s">
        <v>52</v>
      </c>
      <c r="P14" s="1" t="s">
        <v>41</v>
      </c>
      <c r="Q14" s="1" t="s">
        <v>41</v>
      </c>
      <c r="R14" s="1" t="s">
        <v>41</v>
      </c>
      <c r="S14" s="1" t="s">
        <v>41</v>
      </c>
      <c r="T14" s="1" t="s">
        <v>41</v>
      </c>
      <c r="U14" s="1" t="s">
        <v>41</v>
      </c>
      <c r="V14" s="1" t="s">
        <v>41</v>
      </c>
      <c r="W14" s="1" t="s">
        <v>41</v>
      </c>
      <c r="X14" s="1" t="s">
        <v>56</v>
      </c>
      <c r="Y14" s="1" t="s">
        <v>41</v>
      </c>
      <c r="Z14" s="1" t="s">
        <v>41</v>
      </c>
      <c r="AA14" s="1" t="s">
        <v>41</v>
      </c>
      <c r="AB14" s="1" t="s">
        <v>52</v>
      </c>
      <c r="AC14" s="1" t="s">
        <v>41</v>
      </c>
      <c r="AD14" s="1" t="s">
        <v>41</v>
      </c>
      <c r="AE14" s="1" t="s">
        <v>41</v>
      </c>
      <c r="AF14" s="1" t="s">
        <v>52</v>
      </c>
      <c r="AG14" s="1"/>
      <c r="AH14" s="134">
        <f>COUNTIF(C14:AG14,"P")</f>
        <v>21</v>
      </c>
      <c r="AI14" s="134">
        <f>COUNTIF(D14:AH14,"P/2")</f>
        <v>1</v>
      </c>
      <c r="AJ14" s="15"/>
      <c r="AK14" s="171">
        <f>COUNTIF(C16:AG16,"BAAS")</f>
        <v>0</v>
      </c>
      <c r="AL14" s="171">
        <f>COUNTIF(D16:AH16,"RCML")</f>
        <v>0</v>
      </c>
      <c r="AM14" s="171">
        <f>COUNTIF(E16:AJ16,"PRE")</f>
        <v>0</v>
      </c>
      <c r="AN14" s="171">
        <f>COUNTIF(F16:AK16,"BAKR")</f>
        <v>0</v>
      </c>
      <c r="AO14" s="171">
        <v>700</v>
      </c>
      <c r="AP14" s="171">
        <f>AO14*AI14/2</f>
        <v>350</v>
      </c>
      <c r="AQ14" s="171">
        <f>AH14*AO14+AP14</f>
        <v>15050</v>
      </c>
      <c r="AR14" s="168">
        <f>AJ15/8*AO14</f>
        <v>4550</v>
      </c>
      <c r="AS14" s="168">
        <f t="shared" ref="AS14:AS20" si="0">AQ14+AR14</f>
        <v>19600</v>
      </c>
      <c r="AU14" s="46"/>
    </row>
    <row r="15" spans="1:47" x14ac:dyDescent="0.25">
      <c r="A15" s="132"/>
      <c r="B15" s="183"/>
      <c r="C15" s="13" t="s">
        <v>103</v>
      </c>
      <c r="D15" s="13" t="s">
        <v>103</v>
      </c>
      <c r="E15" s="9" t="s">
        <v>103</v>
      </c>
      <c r="F15" s="9">
        <v>2</v>
      </c>
      <c r="G15" s="9">
        <v>4</v>
      </c>
      <c r="H15" s="9">
        <v>2</v>
      </c>
      <c r="I15" s="9" t="s">
        <v>103</v>
      </c>
      <c r="J15" s="9">
        <v>3</v>
      </c>
      <c r="K15" s="9">
        <v>5</v>
      </c>
      <c r="L15" s="9">
        <v>5</v>
      </c>
      <c r="M15" s="13" t="s">
        <v>103</v>
      </c>
      <c r="N15" s="13" t="s">
        <v>103</v>
      </c>
      <c r="O15" s="13" t="s">
        <v>103</v>
      </c>
      <c r="P15" s="13" t="s">
        <v>103</v>
      </c>
      <c r="Q15" s="9">
        <v>6</v>
      </c>
      <c r="R15" s="9" t="s">
        <v>103</v>
      </c>
      <c r="S15" s="9">
        <v>4</v>
      </c>
      <c r="T15" s="9">
        <v>2</v>
      </c>
      <c r="U15" s="9">
        <v>4</v>
      </c>
      <c r="V15" s="9">
        <v>2</v>
      </c>
      <c r="W15" s="9">
        <v>4</v>
      </c>
      <c r="X15" s="13" t="s">
        <v>103</v>
      </c>
      <c r="Y15" s="9">
        <v>2</v>
      </c>
      <c r="Z15" s="9" t="s">
        <v>103</v>
      </c>
      <c r="AA15" s="9">
        <v>2</v>
      </c>
      <c r="AB15" s="13" t="s">
        <v>103</v>
      </c>
      <c r="AC15" s="9">
        <v>2</v>
      </c>
      <c r="AD15" s="9">
        <v>3</v>
      </c>
      <c r="AE15" s="9" t="s">
        <v>103</v>
      </c>
      <c r="AF15" s="13" t="s">
        <v>103</v>
      </c>
      <c r="AG15" s="9"/>
      <c r="AH15" s="135"/>
      <c r="AI15" s="135"/>
      <c r="AJ15" s="15">
        <f>SUM(C15:AG15)</f>
        <v>52</v>
      </c>
      <c r="AK15" s="172"/>
      <c r="AL15" s="172"/>
      <c r="AM15" s="172"/>
      <c r="AN15" s="172"/>
      <c r="AO15" s="172"/>
      <c r="AP15" s="172"/>
      <c r="AQ15" s="172"/>
      <c r="AR15" s="169"/>
      <c r="AS15" s="169"/>
      <c r="AU15" s="46"/>
    </row>
    <row r="16" spans="1:47" x14ac:dyDescent="0.25">
      <c r="A16" s="133"/>
      <c r="B16" s="184"/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36"/>
      <c r="AI16" s="136"/>
      <c r="AJ16" s="16"/>
      <c r="AK16" s="173"/>
      <c r="AL16" s="173"/>
      <c r="AM16" s="173"/>
      <c r="AN16" s="173"/>
      <c r="AO16" s="173"/>
      <c r="AP16" s="173"/>
      <c r="AQ16" s="173"/>
      <c r="AR16" s="170"/>
      <c r="AS16" s="170"/>
      <c r="AU16" s="46"/>
    </row>
    <row r="17" spans="1:47" x14ac:dyDescent="0.25">
      <c r="A17" s="131">
        <v>5</v>
      </c>
      <c r="B17" s="182" t="s">
        <v>70</v>
      </c>
      <c r="C17" s="1" t="s">
        <v>52</v>
      </c>
      <c r="D17" s="1" t="s">
        <v>52</v>
      </c>
      <c r="E17" s="1" t="s">
        <v>41</v>
      </c>
      <c r="F17" s="1" t="s">
        <v>41</v>
      </c>
      <c r="G17" s="1" t="s">
        <v>41</v>
      </c>
      <c r="H17" s="1" t="s">
        <v>41</v>
      </c>
      <c r="I17" s="1" t="s">
        <v>56</v>
      </c>
      <c r="J17" s="1" t="s">
        <v>41</v>
      </c>
      <c r="K17" s="1" t="s">
        <v>41</v>
      </c>
      <c r="L17" s="1" t="s">
        <v>41</v>
      </c>
      <c r="M17" s="1" t="s">
        <v>41</v>
      </c>
      <c r="N17" s="1" t="s">
        <v>41</v>
      </c>
      <c r="O17" s="1" t="s">
        <v>52</v>
      </c>
      <c r="P17" s="1" t="s">
        <v>41</v>
      </c>
      <c r="Q17" s="1" t="s">
        <v>41</v>
      </c>
      <c r="R17" s="1" t="s">
        <v>41</v>
      </c>
      <c r="S17" s="1" t="s">
        <v>41</v>
      </c>
      <c r="T17" s="1" t="s">
        <v>52</v>
      </c>
      <c r="U17" s="1" t="s">
        <v>41</v>
      </c>
      <c r="V17" s="1" t="s">
        <v>41</v>
      </c>
      <c r="W17" s="1" t="s">
        <v>41</v>
      </c>
      <c r="X17" s="1" t="s">
        <v>41</v>
      </c>
      <c r="Y17" s="1" t="s">
        <v>41</v>
      </c>
      <c r="Z17" s="1" t="s">
        <v>41</v>
      </c>
      <c r="AA17" s="1" t="s">
        <v>41</v>
      </c>
      <c r="AB17" s="1" t="s">
        <v>52</v>
      </c>
      <c r="AC17" s="1" t="s">
        <v>41</v>
      </c>
      <c r="AD17" s="1" t="s">
        <v>41</v>
      </c>
      <c r="AE17" s="1" t="s">
        <v>52</v>
      </c>
      <c r="AF17" s="1" t="s">
        <v>52</v>
      </c>
      <c r="AG17" s="1"/>
      <c r="AH17" s="134">
        <f>COUNTIF(C17:AG17,"P")</f>
        <v>22</v>
      </c>
      <c r="AI17" s="134">
        <f>COUNTIF(D17:AH17,"P/2")</f>
        <v>1</v>
      </c>
      <c r="AJ17" s="15"/>
      <c r="AK17" s="171">
        <f>COUNTIF(C19:AG19,"BAAS")</f>
        <v>0</v>
      </c>
      <c r="AL17" s="171">
        <f>COUNTIF(D19:AH19,"RCML")</f>
        <v>0</v>
      </c>
      <c r="AM17" s="171">
        <f>COUNTIF(E19:AJ19,"PRE")</f>
        <v>0</v>
      </c>
      <c r="AN17" s="171">
        <f>COUNTIF(F19:AK19,"BAKR")</f>
        <v>0</v>
      </c>
      <c r="AO17" s="171">
        <v>600</v>
      </c>
      <c r="AP17" s="171">
        <f>AO17*AI17/2</f>
        <v>300</v>
      </c>
      <c r="AQ17" s="171">
        <f>AH17*AO17+AP17</f>
        <v>13500</v>
      </c>
      <c r="AR17" s="168">
        <f>AJ18/8*AO17</f>
        <v>4125</v>
      </c>
      <c r="AS17" s="168">
        <f t="shared" si="0"/>
        <v>17625</v>
      </c>
      <c r="AU17" s="46"/>
    </row>
    <row r="18" spans="1:47" x14ac:dyDescent="0.25">
      <c r="A18" s="132"/>
      <c r="B18" s="183"/>
      <c r="C18" s="13" t="s">
        <v>103</v>
      </c>
      <c r="D18" s="13" t="s">
        <v>103</v>
      </c>
      <c r="E18" s="9" t="s">
        <v>103</v>
      </c>
      <c r="F18" s="9">
        <v>5</v>
      </c>
      <c r="G18" s="9">
        <v>5</v>
      </c>
      <c r="H18" s="9">
        <v>2</v>
      </c>
      <c r="I18" s="9" t="s">
        <v>103</v>
      </c>
      <c r="J18" s="9">
        <v>5</v>
      </c>
      <c r="K18" s="9">
        <v>5</v>
      </c>
      <c r="L18" s="9">
        <v>4</v>
      </c>
      <c r="M18" s="9">
        <v>3</v>
      </c>
      <c r="N18" s="9" t="s">
        <v>103</v>
      </c>
      <c r="O18" s="9" t="s">
        <v>103</v>
      </c>
      <c r="P18" s="9" t="s">
        <v>103</v>
      </c>
      <c r="Q18" s="9">
        <v>4</v>
      </c>
      <c r="R18" s="9">
        <v>2</v>
      </c>
      <c r="S18" s="9">
        <v>3</v>
      </c>
      <c r="T18" s="9" t="s">
        <v>103</v>
      </c>
      <c r="U18" s="9">
        <v>2</v>
      </c>
      <c r="V18" s="9">
        <v>2</v>
      </c>
      <c r="W18" s="9">
        <v>5</v>
      </c>
      <c r="X18" s="9">
        <v>1</v>
      </c>
      <c r="Y18" s="9">
        <v>2</v>
      </c>
      <c r="Z18" s="9" t="s">
        <v>103</v>
      </c>
      <c r="AA18" s="9">
        <v>2</v>
      </c>
      <c r="AB18" s="9" t="s">
        <v>103</v>
      </c>
      <c r="AC18" s="9" t="s">
        <v>103</v>
      </c>
      <c r="AD18" s="9">
        <v>3</v>
      </c>
      <c r="AE18" s="9" t="s">
        <v>103</v>
      </c>
      <c r="AF18" s="9" t="s">
        <v>103</v>
      </c>
      <c r="AG18" s="9"/>
      <c r="AH18" s="135"/>
      <c r="AI18" s="135"/>
      <c r="AJ18" s="27">
        <f>SUM(C18:AG18)</f>
        <v>55</v>
      </c>
      <c r="AK18" s="172"/>
      <c r="AL18" s="172"/>
      <c r="AM18" s="172"/>
      <c r="AN18" s="172"/>
      <c r="AO18" s="172"/>
      <c r="AP18" s="172"/>
      <c r="AQ18" s="172"/>
      <c r="AR18" s="169"/>
      <c r="AS18" s="169"/>
      <c r="AT18">
        <v>23</v>
      </c>
      <c r="AU18" s="46">
        <v>58</v>
      </c>
    </row>
    <row r="19" spans="1:47" x14ac:dyDescent="0.25">
      <c r="A19" s="133"/>
      <c r="B19" s="184"/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36"/>
      <c r="AI19" s="136"/>
      <c r="AJ19" s="16"/>
      <c r="AK19" s="173"/>
      <c r="AL19" s="173"/>
      <c r="AM19" s="173"/>
      <c r="AN19" s="173"/>
      <c r="AO19" s="173"/>
      <c r="AP19" s="173"/>
      <c r="AQ19" s="173"/>
      <c r="AR19" s="170"/>
      <c r="AS19" s="170"/>
      <c r="AU19" s="46"/>
    </row>
    <row r="20" spans="1:47" x14ac:dyDescent="0.25">
      <c r="A20" s="131">
        <v>6</v>
      </c>
      <c r="B20" s="182" t="s">
        <v>72</v>
      </c>
      <c r="C20" s="1" t="s">
        <v>52</v>
      </c>
      <c r="D20" s="1" t="s">
        <v>41</v>
      </c>
      <c r="E20" s="1" t="s">
        <v>41</v>
      </c>
      <c r="F20" s="1" t="s">
        <v>41</v>
      </c>
      <c r="G20" s="1" t="s">
        <v>41</v>
      </c>
      <c r="H20" s="1" t="s">
        <v>41</v>
      </c>
      <c r="I20" s="1" t="s">
        <v>52</v>
      </c>
      <c r="J20" s="1" t="s">
        <v>41</v>
      </c>
      <c r="K20" s="1" t="s">
        <v>41</v>
      </c>
      <c r="L20" s="1" t="s">
        <v>41</v>
      </c>
      <c r="M20" s="1" t="s">
        <v>41</v>
      </c>
      <c r="N20" s="1" t="s">
        <v>41</v>
      </c>
      <c r="O20" s="1" t="s">
        <v>52</v>
      </c>
      <c r="P20" s="1" t="s">
        <v>52</v>
      </c>
      <c r="Q20" s="1" t="s">
        <v>41</v>
      </c>
      <c r="R20" s="1" t="s">
        <v>41</v>
      </c>
      <c r="S20" s="1" t="s">
        <v>41</v>
      </c>
      <c r="T20" s="1" t="s">
        <v>52</v>
      </c>
      <c r="U20" s="1" t="s">
        <v>52</v>
      </c>
      <c r="V20" s="1" t="s">
        <v>52</v>
      </c>
      <c r="W20" s="1" t="s">
        <v>52</v>
      </c>
      <c r="X20" s="1" t="s">
        <v>52</v>
      </c>
      <c r="Y20" s="1" t="s">
        <v>52</v>
      </c>
      <c r="Z20" s="1" t="s">
        <v>52</v>
      </c>
      <c r="AA20" s="1" t="s">
        <v>52</v>
      </c>
      <c r="AB20" s="1" t="s">
        <v>52</v>
      </c>
      <c r="AC20" s="1" t="s">
        <v>52</v>
      </c>
      <c r="AD20" s="1" t="s">
        <v>52</v>
      </c>
      <c r="AE20" s="1" t="s">
        <v>52</v>
      </c>
      <c r="AF20" s="1" t="s">
        <v>52</v>
      </c>
      <c r="AG20" s="1"/>
      <c r="AH20" s="134">
        <f>COUNTIF(C20:AG20,"P")</f>
        <v>13</v>
      </c>
      <c r="AI20" s="134">
        <f>COUNTIF(D20:AH20,"P/2")</f>
        <v>0</v>
      </c>
      <c r="AJ20" s="15"/>
      <c r="AK20" s="171">
        <f>COUNTIF(C22:AG22,"BAAS")</f>
        <v>0</v>
      </c>
      <c r="AL20" s="171">
        <f>COUNTIF(D22:AH22,"RCML")</f>
        <v>0</v>
      </c>
      <c r="AM20" s="171">
        <f>COUNTIF(E22:AJ22,"PRE")</f>
        <v>0</v>
      </c>
      <c r="AN20" s="171">
        <f>COUNTIF(F22:AK22,"BAKR")</f>
        <v>0</v>
      </c>
      <c r="AO20" s="171">
        <v>700</v>
      </c>
      <c r="AP20" s="171">
        <f>AO20*AI20/2</f>
        <v>0</v>
      </c>
      <c r="AQ20" s="171">
        <f>AH20*AO20+AP20</f>
        <v>9100</v>
      </c>
      <c r="AR20" s="168">
        <f>AJ21/8*AO20</f>
        <v>2712.5</v>
      </c>
      <c r="AS20" s="168">
        <f t="shared" si="0"/>
        <v>11812.5</v>
      </c>
      <c r="AU20" s="46"/>
    </row>
    <row r="21" spans="1:47" x14ac:dyDescent="0.25">
      <c r="A21" s="132"/>
      <c r="B21" s="183"/>
      <c r="C21" s="13" t="s">
        <v>103</v>
      </c>
      <c r="D21" s="9" t="s">
        <v>103</v>
      </c>
      <c r="E21" s="9" t="s">
        <v>103</v>
      </c>
      <c r="F21" s="9">
        <v>5</v>
      </c>
      <c r="G21" s="9">
        <v>7</v>
      </c>
      <c r="H21" s="9">
        <v>2</v>
      </c>
      <c r="I21" s="9" t="s">
        <v>103</v>
      </c>
      <c r="J21" s="9">
        <v>4</v>
      </c>
      <c r="K21" s="9" t="s">
        <v>103</v>
      </c>
      <c r="L21" s="9">
        <v>4</v>
      </c>
      <c r="M21" s="9">
        <v>3</v>
      </c>
      <c r="N21" s="9" t="s">
        <v>103</v>
      </c>
      <c r="O21" s="9" t="s">
        <v>103</v>
      </c>
      <c r="P21" s="9" t="s">
        <v>103</v>
      </c>
      <c r="Q21" s="9">
        <v>2</v>
      </c>
      <c r="R21" s="9">
        <v>4</v>
      </c>
      <c r="S21" s="9" t="s">
        <v>103</v>
      </c>
      <c r="T21" s="9" t="s">
        <v>103</v>
      </c>
      <c r="U21" s="9" t="s">
        <v>103</v>
      </c>
      <c r="V21" s="9" t="s">
        <v>103</v>
      </c>
      <c r="W21" s="9" t="s">
        <v>103</v>
      </c>
      <c r="X21" s="9" t="s">
        <v>103</v>
      </c>
      <c r="Y21" s="9" t="s">
        <v>103</v>
      </c>
      <c r="Z21" s="9" t="s">
        <v>103</v>
      </c>
      <c r="AA21" s="9" t="s">
        <v>103</v>
      </c>
      <c r="AB21" s="9" t="s">
        <v>103</v>
      </c>
      <c r="AC21" s="9" t="s">
        <v>103</v>
      </c>
      <c r="AD21" s="9" t="s">
        <v>103</v>
      </c>
      <c r="AE21" s="9" t="s">
        <v>103</v>
      </c>
      <c r="AF21" s="9" t="s">
        <v>103</v>
      </c>
      <c r="AG21" s="9"/>
      <c r="AH21" s="135"/>
      <c r="AI21" s="135"/>
      <c r="AJ21" s="15">
        <f>SUM(C21:AG21)</f>
        <v>31</v>
      </c>
      <c r="AK21" s="172"/>
      <c r="AL21" s="172"/>
      <c r="AM21" s="172"/>
      <c r="AN21" s="172"/>
      <c r="AO21" s="172"/>
      <c r="AP21" s="172"/>
      <c r="AQ21" s="172"/>
      <c r="AR21" s="169"/>
      <c r="AS21" s="169"/>
      <c r="AU21" s="46">
        <v>32</v>
      </c>
    </row>
    <row r="22" spans="1:47" x14ac:dyDescent="0.25">
      <c r="A22" s="133"/>
      <c r="B22" s="184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36"/>
      <c r="AI22" s="136"/>
      <c r="AJ22" s="16"/>
      <c r="AK22" s="173"/>
      <c r="AL22" s="173"/>
      <c r="AM22" s="173"/>
      <c r="AN22" s="173"/>
      <c r="AO22" s="173"/>
      <c r="AP22" s="173"/>
      <c r="AQ22" s="173"/>
      <c r="AR22" s="170"/>
      <c r="AS22" s="170"/>
      <c r="AU22" s="46"/>
    </row>
    <row r="23" spans="1:47" x14ac:dyDescent="0.25">
      <c r="A23" s="131">
        <v>7</v>
      </c>
      <c r="B23" s="182" t="s">
        <v>97</v>
      </c>
      <c r="C23" s="1" t="s">
        <v>52</v>
      </c>
      <c r="D23" s="1" t="s">
        <v>52</v>
      </c>
      <c r="E23" s="1" t="s">
        <v>41</v>
      </c>
      <c r="F23" s="1" t="s">
        <v>41</v>
      </c>
      <c r="G23" s="1" t="s">
        <v>41</v>
      </c>
      <c r="H23" s="1" t="s">
        <v>41</v>
      </c>
      <c r="I23" s="1" t="s">
        <v>56</v>
      </c>
      <c r="J23" s="1" t="s">
        <v>41</v>
      </c>
      <c r="K23" s="1" t="s">
        <v>41</v>
      </c>
      <c r="L23" s="1" t="s">
        <v>41</v>
      </c>
      <c r="M23" s="1" t="s">
        <v>41</v>
      </c>
      <c r="N23" s="1" t="s">
        <v>41</v>
      </c>
      <c r="O23" s="1" t="s">
        <v>41</v>
      </c>
      <c r="P23" s="1" t="s">
        <v>41</v>
      </c>
      <c r="Q23" s="1" t="s">
        <v>41</v>
      </c>
      <c r="R23" s="1" t="s">
        <v>41</v>
      </c>
      <c r="S23" s="1" t="s">
        <v>41</v>
      </c>
      <c r="T23" s="1" t="s">
        <v>41</v>
      </c>
      <c r="U23" s="1" t="s">
        <v>41</v>
      </c>
      <c r="V23" s="1" t="s">
        <v>41</v>
      </c>
      <c r="W23" s="1" t="s">
        <v>41</v>
      </c>
      <c r="X23" s="1" t="s">
        <v>41</v>
      </c>
      <c r="Y23" s="1" t="s">
        <v>41</v>
      </c>
      <c r="Z23" s="1" t="s">
        <v>41</v>
      </c>
      <c r="AA23" s="1" t="s">
        <v>41</v>
      </c>
      <c r="AB23" s="1" t="s">
        <v>52</v>
      </c>
      <c r="AC23" s="1" t="s">
        <v>41</v>
      </c>
      <c r="AD23" s="1" t="s">
        <v>41</v>
      </c>
      <c r="AE23" s="1" t="s">
        <v>41</v>
      </c>
      <c r="AF23" s="1" t="s">
        <v>52</v>
      </c>
      <c r="AG23" s="1"/>
      <c r="AH23" s="134">
        <f>COUNTIF(C23:AG23,"P")</f>
        <v>25</v>
      </c>
      <c r="AI23" s="134">
        <f>COUNTIF(D23:AH23,"P/2")</f>
        <v>1</v>
      </c>
      <c r="AJ23" s="15"/>
      <c r="AK23" s="171">
        <f>COUNTIF(C25:AG25,"BAAS")</f>
        <v>0</v>
      </c>
      <c r="AL23" s="171">
        <f>COUNTIF(D25:AH25,"RCML")</f>
        <v>0</v>
      </c>
      <c r="AM23" s="171">
        <f>COUNTIF(E25:AJ25,"PRE")</f>
        <v>0</v>
      </c>
      <c r="AN23" s="171">
        <f>COUNTIF(F25:AK25,"BAKR")</f>
        <v>0</v>
      </c>
      <c r="AO23" s="171">
        <v>800</v>
      </c>
      <c r="AP23" s="171">
        <f>AO23*AI23/2</f>
        <v>400</v>
      </c>
      <c r="AQ23" s="171">
        <f>AH23*AO23+AP23</f>
        <v>20400</v>
      </c>
      <c r="AR23" s="168">
        <f>AJ24/8*AO23</f>
        <v>6800</v>
      </c>
      <c r="AS23" s="168">
        <f>AQ23+AR23</f>
        <v>27200</v>
      </c>
      <c r="AU23" s="46"/>
    </row>
    <row r="24" spans="1:47" x14ac:dyDescent="0.25">
      <c r="A24" s="132"/>
      <c r="B24" s="183"/>
      <c r="C24" s="13" t="s">
        <v>103</v>
      </c>
      <c r="D24" s="13" t="s">
        <v>103</v>
      </c>
      <c r="E24" s="9" t="s">
        <v>103</v>
      </c>
      <c r="F24" s="9">
        <v>2</v>
      </c>
      <c r="G24" s="9">
        <v>4</v>
      </c>
      <c r="H24" s="9">
        <v>2</v>
      </c>
      <c r="I24" s="9" t="s">
        <v>103</v>
      </c>
      <c r="J24" s="9">
        <v>3</v>
      </c>
      <c r="K24" s="9">
        <v>4</v>
      </c>
      <c r="L24" s="9">
        <v>1</v>
      </c>
      <c r="M24" s="9">
        <v>3</v>
      </c>
      <c r="N24" s="9" t="s">
        <v>103</v>
      </c>
      <c r="O24" s="9">
        <v>2</v>
      </c>
      <c r="P24" s="9">
        <v>2</v>
      </c>
      <c r="Q24" s="9">
        <v>6</v>
      </c>
      <c r="R24" s="9">
        <v>4</v>
      </c>
      <c r="S24" s="9">
        <v>6</v>
      </c>
      <c r="T24" s="9">
        <v>3</v>
      </c>
      <c r="U24" s="9">
        <v>8</v>
      </c>
      <c r="V24" s="9">
        <v>3</v>
      </c>
      <c r="W24" s="9">
        <v>5</v>
      </c>
      <c r="X24" s="9">
        <v>3</v>
      </c>
      <c r="Y24" s="9">
        <v>2</v>
      </c>
      <c r="Z24" s="9" t="s">
        <v>103</v>
      </c>
      <c r="AA24" s="9">
        <v>2</v>
      </c>
      <c r="AB24" s="9"/>
      <c r="AC24" s="9" t="s">
        <v>103</v>
      </c>
      <c r="AD24" s="9">
        <v>3</v>
      </c>
      <c r="AE24" s="9" t="s">
        <v>103</v>
      </c>
      <c r="AF24" s="9" t="s">
        <v>103</v>
      </c>
      <c r="AG24" s="9"/>
      <c r="AH24" s="135"/>
      <c r="AI24" s="135"/>
      <c r="AJ24" s="15">
        <f>SUM(C24:AG24)</f>
        <v>68</v>
      </c>
      <c r="AK24" s="172"/>
      <c r="AL24" s="172"/>
      <c r="AM24" s="172"/>
      <c r="AN24" s="172"/>
      <c r="AO24" s="172"/>
      <c r="AP24" s="172"/>
      <c r="AQ24" s="172"/>
      <c r="AR24" s="169"/>
      <c r="AS24" s="169"/>
      <c r="AT24">
        <v>26</v>
      </c>
      <c r="AU24" s="46"/>
    </row>
    <row r="25" spans="1:47" x14ac:dyDescent="0.25">
      <c r="A25" s="133"/>
      <c r="B25" s="184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36"/>
      <c r="AI25" s="136"/>
      <c r="AJ25" s="16"/>
      <c r="AK25" s="173"/>
      <c r="AL25" s="173"/>
      <c r="AM25" s="173"/>
      <c r="AN25" s="173"/>
      <c r="AO25" s="173"/>
      <c r="AP25" s="173"/>
      <c r="AQ25" s="173"/>
      <c r="AR25" s="170"/>
      <c r="AS25" s="170"/>
      <c r="AU25" s="46"/>
    </row>
    <row r="26" spans="1:47" x14ac:dyDescent="0.25">
      <c r="A26" s="131">
        <v>8</v>
      </c>
      <c r="B26" s="182" t="s">
        <v>101</v>
      </c>
      <c r="C26" s="1" t="s">
        <v>52</v>
      </c>
      <c r="D26" s="1" t="s">
        <v>52</v>
      </c>
      <c r="E26" s="1" t="s">
        <v>41</v>
      </c>
      <c r="F26" s="1" t="s">
        <v>41</v>
      </c>
      <c r="G26" s="1" t="s">
        <v>41</v>
      </c>
      <c r="H26" s="1" t="s">
        <v>41</v>
      </c>
      <c r="I26" s="1" t="s">
        <v>56</v>
      </c>
      <c r="J26" s="1" t="s">
        <v>41</v>
      </c>
      <c r="K26" s="1" t="s">
        <v>41</v>
      </c>
      <c r="L26" s="1" t="s">
        <v>41</v>
      </c>
      <c r="M26" s="1" t="s">
        <v>41</v>
      </c>
      <c r="N26" s="1" t="s">
        <v>52</v>
      </c>
      <c r="O26" s="1" t="s">
        <v>52</v>
      </c>
      <c r="P26" s="1" t="s">
        <v>41</v>
      </c>
      <c r="Q26" s="1" t="s">
        <v>41</v>
      </c>
      <c r="R26" s="1" t="s">
        <v>41</v>
      </c>
      <c r="S26" s="1" t="s">
        <v>41</v>
      </c>
      <c r="T26" s="1" t="s">
        <v>52</v>
      </c>
      <c r="U26" s="1" t="s">
        <v>41</v>
      </c>
      <c r="V26" s="1" t="s">
        <v>41</v>
      </c>
      <c r="W26" s="1" t="s">
        <v>41</v>
      </c>
      <c r="X26" s="1" t="s">
        <v>41</v>
      </c>
      <c r="Y26" s="1" t="s">
        <v>41</v>
      </c>
      <c r="Z26" s="1" t="s">
        <v>41</v>
      </c>
      <c r="AA26" s="1" t="s">
        <v>41</v>
      </c>
      <c r="AB26" s="1" t="s">
        <v>52</v>
      </c>
      <c r="AC26" s="1" t="s">
        <v>41</v>
      </c>
      <c r="AD26" s="1" t="s">
        <v>41</v>
      </c>
      <c r="AE26" s="1" t="s">
        <v>52</v>
      </c>
      <c r="AF26" s="1" t="s">
        <v>52</v>
      </c>
      <c r="AG26" s="1"/>
      <c r="AH26" s="134">
        <f>COUNTIF(C26:AG26,"P")</f>
        <v>21</v>
      </c>
      <c r="AI26" s="134">
        <f>COUNTIF(D26:AH26,"P/2")</f>
        <v>1</v>
      </c>
      <c r="AJ26" s="15"/>
      <c r="AK26" s="171">
        <f>COUNTIF(C28:AG28,"BAAS")</f>
        <v>0</v>
      </c>
      <c r="AL26" s="171">
        <f>COUNTIF(D28:AH28,"RCML")</f>
        <v>0</v>
      </c>
      <c r="AM26" s="171">
        <f>COUNTIF(E28:AJ28,"PRE")</f>
        <v>0</v>
      </c>
      <c r="AN26" s="171">
        <f>COUNTIF(F28:AK28,"BAKR")</f>
        <v>0</v>
      </c>
      <c r="AO26" s="171">
        <v>700</v>
      </c>
      <c r="AP26" s="171">
        <f>AO26*AI26/2</f>
        <v>350</v>
      </c>
      <c r="AQ26" s="171">
        <f>AH26*AO26+AP26</f>
        <v>15050</v>
      </c>
      <c r="AR26" s="168">
        <f>AJ27/8*AO26</f>
        <v>5687.5</v>
      </c>
      <c r="AS26" s="168">
        <f>AQ26+AR26</f>
        <v>20737.5</v>
      </c>
      <c r="AU26" s="46"/>
    </row>
    <row r="27" spans="1:47" x14ac:dyDescent="0.25">
      <c r="A27" s="132"/>
      <c r="B27" s="183"/>
      <c r="C27" s="13" t="s">
        <v>103</v>
      </c>
      <c r="D27" s="13" t="s">
        <v>103</v>
      </c>
      <c r="E27" s="9" t="s">
        <v>103</v>
      </c>
      <c r="F27" s="9">
        <v>2</v>
      </c>
      <c r="G27" s="9">
        <v>4</v>
      </c>
      <c r="H27" s="9">
        <v>2</v>
      </c>
      <c r="I27" s="9" t="s">
        <v>103</v>
      </c>
      <c r="J27" s="9">
        <v>6</v>
      </c>
      <c r="K27" s="9">
        <v>6</v>
      </c>
      <c r="L27" s="9">
        <v>4</v>
      </c>
      <c r="M27" s="9">
        <v>3</v>
      </c>
      <c r="N27" s="9" t="s">
        <v>103</v>
      </c>
      <c r="O27" s="9" t="s">
        <v>103</v>
      </c>
      <c r="P27" s="9">
        <v>2</v>
      </c>
      <c r="Q27" s="9">
        <v>3</v>
      </c>
      <c r="R27" s="9">
        <v>4</v>
      </c>
      <c r="S27" s="9">
        <v>4</v>
      </c>
      <c r="T27" s="9" t="s">
        <v>103</v>
      </c>
      <c r="U27" s="9">
        <v>5</v>
      </c>
      <c r="V27" s="9">
        <v>3</v>
      </c>
      <c r="W27" s="9">
        <v>5</v>
      </c>
      <c r="X27" s="9">
        <v>4</v>
      </c>
      <c r="Y27" s="9">
        <v>3</v>
      </c>
      <c r="Z27" s="9" t="s">
        <v>103</v>
      </c>
      <c r="AA27" s="9">
        <v>2</v>
      </c>
      <c r="AB27" s="9" t="s">
        <v>103</v>
      </c>
      <c r="AC27" s="9" t="s">
        <v>103</v>
      </c>
      <c r="AD27" s="9">
        <v>3</v>
      </c>
      <c r="AE27" s="9" t="s">
        <v>103</v>
      </c>
      <c r="AF27" s="9" t="s">
        <v>103</v>
      </c>
      <c r="AG27" s="9"/>
      <c r="AH27" s="135"/>
      <c r="AI27" s="135"/>
      <c r="AJ27" s="15">
        <f>SUM(C27:AG27)</f>
        <v>65</v>
      </c>
      <c r="AK27" s="172"/>
      <c r="AL27" s="172"/>
      <c r="AM27" s="172"/>
      <c r="AN27" s="172"/>
      <c r="AO27" s="172"/>
      <c r="AP27" s="172"/>
      <c r="AQ27" s="172"/>
      <c r="AR27" s="169"/>
      <c r="AS27" s="169"/>
      <c r="AU27" s="46"/>
    </row>
    <row r="28" spans="1:47" x14ac:dyDescent="0.25">
      <c r="A28" s="133"/>
      <c r="B28" s="184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36"/>
      <c r="AI28" s="136"/>
      <c r="AJ28" s="16"/>
      <c r="AK28" s="173"/>
      <c r="AL28" s="173"/>
      <c r="AM28" s="173"/>
      <c r="AN28" s="173"/>
      <c r="AO28" s="173"/>
      <c r="AP28" s="173"/>
      <c r="AQ28" s="173"/>
      <c r="AR28" s="170"/>
      <c r="AS28" s="170"/>
      <c r="AU28" s="46"/>
    </row>
    <row r="29" spans="1:47" x14ac:dyDescent="0.25">
      <c r="A29" s="131">
        <v>9</v>
      </c>
      <c r="B29" s="182" t="s">
        <v>76</v>
      </c>
      <c r="C29" s="1" t="s">
        <v>52</v>
      </c>
      <c r="D29" s="1" t="s">
        <v>52</v>
      </c>
      <c r="E29" s="1" t="s">
        <v>41</v>
      </c>
      <c r="F29" s="1" t="s">
        <v>41</v>
      </c>
      <c r="G29" s="1" t="s">
        <v>41</v>
      </c>
      <c r="H29" s="1" t="s">
        <v>41</v>
      </c>
      <c r="I29" s="1" t="s">
        <v>41</v>
      </c>
      <c r="J29" s="1" t="s">
        <v>41</v>
      </c>
      <c r="K29" s="1" t="s">
        <v>41</v>
      </c>
      <c r="L29" s="1" t="s">
        <v>41</v>
      </c>
      <c r="M29" s="1" t="s">
        <v>41</v>
      </c>
      <c r="N29" s="1" t="s">
        <v>41</v>
      </c>
      <c r="O29" s="1" t="s">
        <v>41</v>
      </c>
      <c r="P29" s="1" t="s">
        <v>41</v>
      </c>
      <c r="Q29" s="1" t="s">
        <v>52</v>
      </c>
      <c r="R29" s="1" t="s">
        <v>41</v>
      </c>
      <c r="S29" s="1" t="s">
        <v>41</v>
      </c>
      <c r="T29" s="1" t="s">
        <v>41</v>
      </c>
      <c r="U29" s="1" t="s">
        <v>41</v>
      </c>
      <c r="V29" s="1" t="s">
        <v>41</v>
      </c>
      <c r="W29" s="1" t="s">
        <v>41</v>
      </c>
      <c r="X29" s="1" t="s">
        <v>41</v>
      </c>
      <c r="Y29" s="1" t="s">
        <v>41</v>
      </c>
      <c r="Z29" s="1" t="s">
        <v>41</v>
      </c>
      <c r="AA29" s="1" t="s">
        <v>41</v>
      </c>
      <c r="AB29" s="1" t="s">
        <v>56</v>
      </c>
      <c r="AC29" s="1" t="s">
        <v>52</v>
      </c>
      <c r="AD29" s="1" t="s">
        <v>52</v>
      </c>
      <c r="AE29" s="1" t="s">
        <v>52</v>
      </c>
      <c r="AF29" s="1" t="s">
        <v>52</v>
      </c>
      <c r="AG29" s="1"/>
      <c r="AH29" s="134">
        <f>COUNTIF(C29:AG29,"P")</f>
        <v>22</v>
      </c>
      <c r="AI29" s="134">
        <f>COUNTIF(D29:AH29,"P/2")</f>
        <v>1</v>
      </c>
      <c r="AJ29" s="15"/>
      <c r="AK29" s="171">
        <f>COUNTIF(C31:AG31,"BAAS")</f>
        <v>0</v>
      </c>
      <c r="AL29" s="171">
        <f>COUNTIF(D31:AH31,"RCML")</f>
        <v>0</v>
      </c>
      <c r="AM29" s="171">
        <f>COUNTIF(E31:AJ31,"PRE")</f>
        <v>0</v>
      </c>
      <c r="AN29" s="171">
        <f>COUNTIF(F31:AK31,"BAKR")</f>
        <v>0</v>
      </c>
      <c r="AO29" s="171">
        <v>700</v>
      </c>
      <c r="AP29" s="171">
        <f>AO29*AI29/2</f>
        <v>350</v>
      </c>
      <c r="AQ29" s="171">
        <f>AH29*AO29+AP29</f>
        <v>15750</v>
      </c>
      <c r="AR29" s="168">
        <f>AJ30/8*AO29</f>
        <v>3762.5</v>
      </c>
      <c r="AS29" s="168">
        <f>AQ29+AR29</f>
        <v>19512.5</v>
      </c>
      <c r="AU29" s="46"/>
    </row>
    <row r="30" spans="1:47" x14ac:dyDescent="0.25">
      <c r="A30" s="132"/>
      <c r="B30" s="183"/>
      <c r="C30" s="13" t="s">
        <v>103</v>
      </c>
      <c r="D30" s="13" t="s">
        <v>103</v>
      </c>
      <c r="E30" s="9" t="s">
        <v>103</v>
      </c>
      <c r="F30" s="9" t="s">
        <v>103</v>
      </c>
      <c r="G30" s="9">
        <v>1</v>
      </c>
      <c r="H30" s="9">
        <v>2</v>
      </c>
      <c r="I30" s="9" t="s">
        <v>103</v>
      </c>
      <c r="J30" s="9" t="s">
        <v>103</v>
      </c>
      <c r="K30" s="9">
        <v>1</v>
      </c>
      <c r="L30" s="9" t="s">
        <v>103</v>
      </c>
      <c r="M30" s="9">
        <v>3</v>
      </c>
      <c r="N30" s="9">
        <v>7</v>
      </c>
      <c r="O30" s="9">
        <v>3</v>
      </c>
      <c r="P30" s="9">
        <v>4</v>
      </c>
      <c r="Q30" s="13" t="s">
        <v>103</v>
      </c>
      <c r="R30" s="9">
        <v>6</v>
      </c>
      <c r="S30" s="9">
        <v>4</v>
      </c>
      <c r="T30" s="9">
        <v>7</v>
      </c>
      <c r="U30" s="9">
        <v>2</v>
      </c>
      <c r="V30" s="9" t="s">
        <v>103</v>
      </c>
      <c r="W30" s="9" t="s">
        <v>103</v>
      </c>
      <c r="X30" s="9" t="s">
        <v>103</v>
      </c>
      <c r="Y30" s="9">
        <v>2</v>
      </c>
      <c r="Z30" s="9" t="s">
        <v>103</v>
      </c>
      <c r="AA30" s="9">
        <v>1</v>
      </c>
      <c r="AB30" s="9" t="s">
        <v>103</v>
      </c>
      <c r="AC30" s="13" t="s">
        <v>103</v>
      </c>
      <c r="AD30" s="13" t="s">
        <v>103</v>
      </c>
      <c r="AE30" s="13" t="s">
        <v>103</v>
      </c>
      <c r="AF30" s="13" t="s">
        <v>103</v>
      </c>
      <c r="AG30" s="9"/>
      <c r="AH30" s="135"/>
      <c r="AI30" s="135"/>
      <c r="AJ30" s="15">
        <f>SUM(C30:AG30)</f>
        <v>43</v>
      </c>
      <c r="AK30" s="172"/>
      <c r="AL30" s="172"/>
      <c r="AM30" s="172"/>
      <c r="AN30" s="172"/>
      <c r="AO30" s="172"/>
      <c r="AP30" s="172"/>
      <c r="AQ30" s="172"/>
      <c r="AR30" s="169"/>
      <c r="AS30" s="169"/>
      <c r="AU30" s="46"/>
    </row>
    <row r="31" spans="1:47" x14ac:dyDescent="0.25">
      <c r="A31" s="133"/>
      <c r="B31" s="184"/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36"/>
      <c r="AI31" s="136"/>
      <c r="AJ31" s="16"/>
      <c r="AK31" s="173"/>
      <c r="AL31" s="173"/>
      <c r="AM31" s="173"/>
      <c r="AN31" s="173"/>
      <c r="AO31" s="173"/>
      <c r="AP31" s="173"/>
      <c r="AQ31" s="173"/>
      <c r="AR31" s="170"/>
      <c r="AS31" s="170"/>
      <c r="AU31" s="46"/>
    </row>
    <row r="32" spans="1:47" x14ac:dyDescent="0.25">
      <c r="A32" s="131">
        <v>10</v>
      </c>
      <c r="B32" s="182" t="s">
        <v>100</v>
      </c>
      <c r="C32" s="1" t="s">
        <v>52</v>
      </c>
      <c r="D32" s="1" t="s">
        <v>52</v>
      </c>
      <c r="E32" s="1" t="s">
        <v>41</v>
      </c>
      <c r="F32" s="1" t="s">
        <v>41</v>
      </c>
      <c r="G32" s="1" t="s">
        <v>41</v>
      </c>
      <c r="H32" s="1" t="s">
        <v>41</v>
      </c>
      <c r="I32" s="1" t="s">
        <v>56</v>
      </c>
      <c r="J32" s="1" t="s">
        <v>41</v>
      </c>
      <c r="K32" s="1" t="s">
        <v>41</v>
      </c>
      <c r="L32" s="1" t="s">
        <v>41</v>
      </c>
      <c r="M32" s="1" t="s">
        <v>41</v>
      </c>
      <c r="N32" s="1" t="s">
        <v>41</v>
      </c>
      <c r="O32" s="1" t="s">
        <v>41</v>
      </c>
      <c r="P32" s="1" t="s">
        <v>41</v>
      </c>
      <c r="Q32" s="1" t="s">
        <v>41</v>
      </c>
      <c r="R32" s="1" t="s">
        <v>41</v>
      </c>
      <c r="S32" s="1" t="s">
        <v>41</v>
      </c>
      <c r="T32" s="1" t="s">
        <v>41</v>
      </c>
      <c r="U32" s="1" t="s">
        <v>41</v>
      </c>
      <c r="V32" s="1" t="s">
        <v>41</v>
      </c>
      <c r="W32" s="1" t="s">
        <v>41</v>
      </c>
      <c r="X32" s="1" t="s">
        <v>41</v>
      </c>
      <c r="Y32" s="1" t="s">
        <v>41</v>
      </c>
      <c r="Z32" s="1" t="s">
        <v>41</v>
      </c>
      <c r="AA32" s="1" t="s">
        <v>41</v>
      </c>
      <c r="AB32" s="1" t="s">
        <v>52</v>
      </c>
      <c r="AC32" s="1" t="s">
        <v>41</v>
      </c>
      <c r="AD32" s="1" t="s">
        <v>41</v>
      </c>
      <c r="AE32" s="1" t="s">
        <v>52</v>
      </c>
      <c r="AF32" s="1" t="s">
        <v>52</v>
      </c>
      <c r="AG32" s="1"/>
      <c r="AH32" s="134">
        <f>COUNTIF(C32:AG32,"P")</f>
        <v>24</v>
      </c>
      <c r="AI32" s="134">
        <f>COUNTIF(D32:AH32,"P/2")</f>
        <v>1</v>
      </c>
      <c r="AJ32" s="15"/>
      <c r="AK32" s="171">
        <f>COUNTIF(C34:AG34,"BAAS")</f>
        <v>0</v>
      </c>
      <c r="AL32" s="171">
        <f>COUNTIF(D34:AH34,"RCML")</f>
        <v>0</v>
      </c>
      <c r="AM32" s="171">
        <f>COUNTIF(E34:AJ34,"PRE")</f>
        <v>0</v>
      </c>
      <c r="AN32" s="171">
        <f>COUNTIF(F34:AK34,"BAKR")</f>
        <v>0</v>
      </c>
      <c r="AO32" s="171">
        <v>800</v>
      </c>
      <c r="AP32" s="171">
        <f>AO32*AI32/2</f>
        <v>400</v>
      </c>
      <c r="AQ32" s="171">
        <f>AH32*AO32+AP32</f>
        <v>19600</v>
      </c>
      <c r="AR32" s="168">
        <f>AJ33/8*AO32</f>
        <v>6000</v>
      </c>
      <c r="AS32" s="168">
        <f>AQ32+AR32</f>
        <v>25600</v>
      </c>
      <c r="AU32" s="46"/>
    </row>
    <row r="33" spans="1:47" x14ac:dyDescent="0.25">
      <c r="A33" s="132"/>
      <c r="B33" s="183"/>
      <c r="C33" s="13" t="s">
        <v>103</v>
      </c>
      <c r="D33" s="13" t="s">
        <v>103</v>
      </c>
      <c r="E33" s="9" t="s">
        <v>103</v>
      </c>
      <c r="F33" s="9">
        <v>2</v>
      </c>
      <c r="G33" s="9">
        <v>4</v>
      </c>
      <c r="H33" s="9">
        <v>4</v>
      </c>
      <c r="I33" s="9" t="s">
        <v>103</v>
      </c>
      <c r="J33" s="9">
        <v>4</v>
      </c>
      <c r="K33" s="9">
        <v>5</v>
      </c>
      <c r="L33" s="9">
        <v>4</v>
      </c>
      <c r="M33" s="9" t="s">
        <v>103</v>
      </c>
      <c r="N33" s="9" t="s">
        <v>103</v>
      </c>
      <c r="O33" s="9">
        <v>2</v>
      </c>
      <c r="P33" s="9">
        <v>3</v>
      </c>
      <c r="Q33" s="9">
        <v>5</v>
      </c>
      <c r="R33" s="9">
        <v>4</v>
      </c>
      <c r="S33" s="9">
        <v>5</v>
      </c>
      <c r="T33" s="9">
        <v>3</v>
      </c>
      <c r="U33" s="9" t="s">
        <v>103</v>
      </c>
      <c r="V33" s="9">
        <v>2</v>
      </c>
      <c r="W33" s="9">
        <v>2</v>
      </c>
      <c r="X33" s="9">
        <v>2</v>
      </c>
      <c r="Y33" s="9">
        <v>2</v>
      </c>
      <c r="Z33" s="9" t="s">
        <v>103</v>
      </c>
      <c r="AA33" s="9">
        <v>1</v>
      </c>
      <c r="AB33" s="13" t="s">
        <v>103</v>
      </c>
      <c r="AC33" s="9">
        <v>2</v>
      </c>
      <c r="AD33" s="9">
        <v>4</v>
      </c>
      <c r="AE33" s="13" t="s">
        <v>103</v>
      </c>
      <c r="AF33" s="13" t="s">
        <v>103</v>
      </c>
      <c r="AG33" s="9"/>
      <c r="AH33" s="135"/>
      <c r="AI33" s="135"/>
      <c r="AJ33" s="15">
        <f>SUM(C33:AG33)</f>
        <v>60</v>
      </c>
      <c r="AK33" s="172"/>
      <c r="AL33" s="172"/>
      <c r="AM33" s="172"/>
      <c r="AN33" s="172"/>
      <c r="AO33" s="172"/>
      <c r="AP33" s="172"/>
      <c r="AQ33" s="172"/>
      <c r="AR33" s="169"/>
      <c r="AS33" s="169"/>
      <c r="AU33" s="46"/>
    </row>
    <row r="34" spans="1:47" x14ac:dyDescent="0.25">
      <c r="A34" s="133"/>
      <c r="B34" s="184"/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36"/>
      <c r="AI34" s="136"/>
      <c r="AJ34" s="15"/>
      <c r="AK34" s="173"/>
      <c r="AL34" s="173"/>
      <c r="AM34" s="173"/>
      <c r="AN34" s="173"/>
      <c r="AO34" s="173"/>
      <c r="AP34" s="173"/>
      <c r="AQ34" s="173"/>
      <c r="AR34" s="170"/>
      <c r="AS34" s="170"/>
      <c r="AU34" s="46"/>
    </row>
    <row r="35" spans="1:47" x14ac:dyDescent="0.25">
      <c r="A35" s="131">
        <v>11</v>
      </c>
      <c r="B35" s="182" t="s">
        <v>80</v>
      </c>
      <c r="C35" s="1" t="s">
        <v>52</v>
      </c>
      <c r="D35" s="1" t="s">
        <v>52</v>
      </c>
      <c r="E35" s="1" t="s">
        <v>41</v>
      </c>
      <c r="F35" s="1" t="s">
        <v>41</v>
      </c>
      <c r="G35" s="1" t="s">
        <v>41</v>
      </c>
      <c r="H35" s="1" t="s">
        <v>41</v>
      </c>
      <c r="I35" s="1" t="s">
        <v>56</v>
      </c>
      <c r="J35" s="1" t="s">
        <v>52</v>
      </c>
      <c r="K35" s="1" t="s">
        <v>41</v>
      </c>
      <c r="L35" s="1" t="s">
        <v>41</v>
      </c>
      <c r="M35" s="1" t="s">
        <v>41</v>
      </c>
      <c r="N35" s="1" t="s">
        <v>52</v>
      </c>
      <c r="O35" s="1" t="s">
        <v>52</v>
      </c>
      <c r="P35" s="1" t="s">
        <v>41</v>
      </c>
      <c r="Q35" s="1" t="s">
        <v>41</v>
      </c>
      <c r="R35" s="1" t="s">
        <v>41</v>
      </c>
      <c r="S35" s="1" t="s">
        <v>41</v>
      </c>
      <c r="T35" s="1" t="s">
        <v>41</v>
      </c>
      <c r="U35" s="1" t="s">
        <v>41</v>
      </c>
      <c r="V35" s="1" t="s">
        <v>41</v>
      </c>
      <c r="W35" s="1" t="s">
        <v>41</v>
      </c>
      <c r="X35" s="1" t="s">
        <v>41</v>
      </c>
      <c r="Y35" s="1" t="s">
        <v>41</v>
      </c>
      <c r="Z35" s="1" t="s">
        <v>41</v>
      </c>
      <c r="AA35" s="1" t="s">
        <v>52</v>
      </c>
      <c r="AB35" s="1" t="s">
        <v>52</v>
      </c>
      <c r="AC35" s="1" t="s">
        <v>52</v>
      </c>
      <c r="AD35" s="1" t="s">
        <v>41</v>
      </c>
      <c r="AE35" s="1" t="s">
        <v>41</v>
      </c>
      <c r="AF35" s="1" t="s">
        <v>52</v>
      </c>
      <c r="AG35" s="1"/>
      <c r="AH35" s="134">
        <f>COUNTIF(C35:AG35,"P")</f>
        <v>20</v>
      </c>
      <c r="AI35" s="134">
        <f>COUNTIF(D35:AH35,"P/2")</f>
        <v>1</v>
      </c>
      <c r="AJ35" s="15"/>
      <c r="AK35" s="171">
        <f>COUNTIF(C37:AG37,"BAAS")</f>
        <v>0</v>
      </c>
      <c r="AL35" s="171">
        <f>COUNTIF(D37:AH37,"RCML")</f>
        <v>0</v>
      </c>
      <c r="AM35" s="171">
        <f>COUNTIF(E37:AJ37,"PRE")</f>
        <v>0</v>
      </c>
      <c r="AN35" s="171">
        <f>COUNTIF(F37:AK37,"BAKR")</f>
        <v>0</v>
      </c>
      <c r="AO35" s="171">
        <v>800</v>
      </c>
      <c r="AP35" s="171">
        <f>AO35*AI35/2</f>
        <v>400</v>
      </c>
      <c r="AQ35" s="171">
        <f>AH35*AO35+AP35</f>
        <v>16400</v>
      </c>
      <c r="AR35" s="168">
        <f>AJ36/8*AO35</f>
        <v>5500</v>
      </c>
      <c r="AS35" s="168">
        <f>AQ35+AR35</f>
        <v>21900</v>
      </c>
      <c r="AU35" s="46"/>
    </row>
    <row r="36" spans="1:47" x14ac:dyDescent="0.25">
      <c r="A36" s="132"/>
      <c r="B36" s="183"/>
      <c r="C36" s="13" t="s">
        <v>103</v>
      </c>
      <c r="D36" s="13" t="s">
        <v>103</v>
      </c>
      <c r="E36" s="9" t="s">
        <v>103</v>
      </c>
      <c r="F36" s="9">
        <v>2</v>
      </c>
      <c r="G36" s="9">
        <v>4</v>
      </c>
      <c r="H36" s="9">
        <v>3</v>
      </c>
      <c r="I36" s="9" t="s">
        <v>103</v>
      </c>
      <c r="J36" s="13" t="s">
        <v>103</v>
      </c>
      <c r="K36" s="9">
        <v>5</v>
      </c>
      <c r="L36" s="9">
        <v>4</v>
      </c>
      <c r="M36" s="9" t="s">
        <v>103</v>
      </c>
      <c r="N36" s="13" t="s">
        <v>103</v>
      </c>
      <c r="O36" s="13" t="s">
        <v>103</v>
      </c>
      <c r="P36" s="9">
        <v>2</v>
      </c>
      <c r="Q36" s="9">
        <v>2</v>
      </c>
      <c r="R36" s="9">
        <v>2</v>
      </c>
      <c r="S36" s="9">
        <v>7</v>
      </c>
      <c r="T36" s="9">
        <v>1</v>
      </c>
      <c r="U36" s="9">
        <v>4</v>
      </c>
      <c r="V36" s="9">
        <v>3</v>
      </c>
      <c r="W36" s="9">
        <v>5</v>
      </c>
      <c r="X36" s="9">
        <v>5</v>
      </c>
      <c r="Y36" s="9">
        <v>2</v>
      </c>
      <c r="Z36" s="9" t="s">
        <v>103</v>
      </c>
      <c r="AA36" s="13" t="s">
        <v>103</v>
      </c>
      <c r="AB36" s="13" t="s">
        <v>103</v>
      </c>
      <c r="AC36" s="13" t="s">
        <v>103</v>
      </c>
      <c r="AD36" s="13">
        <v>4</v>
      </c>
      <c r="AE36" s="9" t="s">
        <v>103</v>
      </c>
      <c r="AF36" s="13" t="s">
        <v>103</v>
      </c>
      <c r="AG36" s="9"/>
      <c r="AH36" s="135"/>
      <c r="AI36" s="135"/>
      <c r="AJ36" s="15">
        <f>SUM(C36:AG36)</f>
        <v>55</v>
      </c>
      <c r="AK36" s="172"/>
      <c r="AL36" s="172"/>
      <c r="AM36" s="172"/>
      <c r="AN36" s="172"/>
      <c r="AO36" s="172"/>
      <c r="AP36" s="172"/>
      <c r="AQ36" s="172"/>
      <c r="AR36" s="169"/>
      <c r="AS36" s="169"/>
      <c r="AT36">
        <v>19</v>
      </c>
      <c r="AU36" s="46"/>
    </row>
    <row r="37" spans="1:47" x14ac:dyDescent="0.25">
      <c r="A37" s="133"/>
      <c r="B37" s="184"/>
      <c r="C37" s="10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36"/>
      <c r="AI37" s="136"/>
      <c r="AJ37" s="15"/>
      <c r="AK37" s="173"/>
      <c r="AL37" s="173"/>
      <c r="AM37" s="173"/>
      <c r="AN37" s="173"/>
      <c r="AO37" s="173"/>
      <c r="AP37" s="173"/>
      <c r="AQ37" s="173"/>
      <c r="AR37" s="170"/>
      <c r="AS37" s="170"/>
      <c r="AU37" s="46"/>
    </row>
    <row r="38" spans="1:47" x14ac:dyDescent="0.25">
      <c r="A38" s="131">
        <v>12</v>
      </c>
      <c r="B38" s="182" t="s">
        <v>81</v>
      </c>
      <c r="C38" s="1" t="s">
        <v>52</v>
      </c>
      <c r="D38" s="1" t="s">
        <v>52</v>
      </c>
      <c r="E38" s="1" t="s">
        <v>41</v>
      </c>
      <c r="F38" s="1" t="s">
        <v>41</v>
      </c>
      <c r="G38" s="1" t="s">
        <v>41</v>
      </c>
      <c r="H38" s="1" t="s">
        <v>41</v>
      </c>
      <c r="I38" s="1" t="s">
        <v>41</v>
      </c>
      <c r="J38" s="1" t="s">
        <v>41</v>
      </c>
      <c r="K38" s="1" t="s">
        <v>41</v>
      </c>
      <c r="L38" s="1" t="s">
        <v>41</v>
      </c>
      <c r="M38" s="1" t="s">
        <v>41</v>
      </c>
      <c r="N38" s="1" t="s">
        <v>52</v>
      </c>
      <c r="O38" s="1" t="s">
        <v>41</v>
      </c>
      <c r="P38" s="1" t="s">
        <v>41</v>
      </c>
      <c r="Q38" s="1" t="s">
        <v>52</v>
      </c>
      <c r="R38" s="1" t="s">
        <v>41</v>
      </c>
      <c r="S38" s="1" t="s">
        <v>41</v>
      </c>
      <c r="T38" s="1" t="s">
        <v>41</v>
      </c>
      <c r="U38" s="1" t="s">
        <v>41</v>
      </c>
      <c r="V38" s="1" t="s">
        <v>52</v>
      </c>
      <c r="W38" s="1" t="s">
        <v>52</v>
      </c>
      <c r="X38" s="1" t="s">
        <v>52</v>
      </c>
      <c r="Y38" s="1" t="s">
        <v>52</v>
      </c>
      <c r="Z38" s="1" t="s">
        <v>52</v>
      </c>
      <c r="AA38" s="1" t="s">
        <v>52</v>
      </c>
      <c r="AB38" s="1" t="s">
        <v>52</v>
      </c>
      <c r="AC38" s="1" t="s">
        <v>52</v>
      </c>
      <c r="AD38" s="1" t="s">
        <v>52</v>
      </c>
      <c r="AE38" s="1" t="s">
        <v>52</v>
      </c>
      <c r="AF38" s="1" t="s">
        <v>52</v>
      </c>
      <c r="AG38" s="1"/>
      <c r="AH38" s="134">
        <f>COUNTIF(C38:AG38,"P")</f>
        <v>15</v>
      </c>
      <c r="AI38" s="134">
        <f>COUNTIF(D38:AH38,"P/2")</f>
        <v>0</v>
      </c>
      <c r="AJ38" s="15"/>
      <c r="AK38" s="171">
        <f>COUNTIF(C40:AG40,"BAAS")</f>
        <v>0</v>
      </c>
      <c r="AL38" s="171">
        <f>COUNTIF(D40:AH40,"RCML")</f>
        <v>0</v>
      </c>
      <c r="AM38" s="171">
        <f>COUNTIF(E40:AJ40,"PRE")</f>
        <v>0</v>
      </c>
      <c r="AN38" s="171">
        <f>COUNTIF(F40:AK40,"BAKR")</f>
        <v>0</v>
      </c>
      <c r="AO38" s="171">
        <v>700</v>
      </c>
      <c r="AP38" s="171">
        <f>AO38*AI38/2</f>
        <v>0</v>
      </c>
      <c r="AQ38" s="171">
        <f>AH38*AO38+AP38</f>
        <v>10500</v>
      </c>
      <c r="AR38" s="168">
        <f>AJ39/8*AO38</f>
        <v>3062.5</v>
      </c>
      <c r="AS38" s="168">
        <f>AQ38+AR38</f>
        <v>13562.5</v>
      </c>
      <c r="AU38" s="46"/>
    </row>
    <row r="39" spans="1:47" x14ac:dyDescent="0.25">
      <c r="A39" s="132"/>
      <c r="B39" s="183"/>
      <c r="C39" s="13" t="s">
        <v>103</v>
      </c>
      <c r="D39" s="13" t="s">
        <v>103</v>
      </c>
      <c r="E39" s="9" t="s">
        <v>103</v>
      </c>
      <c r="F39" s="9" t="s">
        <v>103</v>
      </c>
      <c r="G39" s="9">
        <v>1</v>
      </c>
      <c r="H39" s="9">
        <v>2</v>
      </c>
      <c r="I39" s="9" t="s">
        <v>103</v>
      </c>
      <c r="J39" s="9">
        <v>4</v>
      </c>
      <c r="K39" s="9">
        <v>1</v>
      </c>
      <c r="L39" s="9" t="s">
        <v>103</v>
      </c>
      <c r="M39" s="9">
        <v>1</v>
      </c>
      <c r="N39" s="13" t="s">
        <v>103</v>
      </c>
      <c r="O39" s="9">
        <v>3</v>
      </c>
      <c r="P39" s="9">
        <v>4</v>
      </c>
      <c r="Q39" s="13" t="s">
        <v>103</v>
      </c>
      <c r="R39" s="9">
        <v>6</v>
      </c>
      <c r="S39" s="9">
        <v>4</v>
      </c>
      <c r="T39" s="9">
        <v>7</v>
      </c>
      <c r="U39" s="9">
        <v>2</v>
      </c>
      <c r="V39" s="13" t="s">
        <v>103</v>
      </c>
      <c r="W39" s="13" t="s">
        <v>103</v>
      </c>
      <c r="X39" s="13" t="s">
        <v>103</v>
      </c>
      <c r="Y39" s="13" t="s">
        <v>103</v>
      </c>
      <c r="Z39" s="13" t="s">
        <v>103</v>
      </c>
      <c r="AA39" s="13" t="s">
        <v>103</v>
      </c>
      <c r="AB39" s="13" t="s">
        <v>103</v>
      </c>
      <c r="AC39" s="13" t="s">
        <v>103</v>
      </c>
      <c r="AD39" s="13" t="s">
        <v>103</v>
      </c>
      <c r="AE39" s="13" t="s">
        <v>103</v>
      </c>
      <c r="AF39" s="13" t="s">
        <v>103</v>
      </c>
      <c r="AG39" s="9"/>
      <c r="AH39" s="135"/>
      <c r="AI39" s="135"/>
      <c r="AJ39" s="15">
        <f>SUM(C39:AG39)</f>
        <v>35</v>
      </c>
      <c r="AK39" s="172"/>
      <c r="AL39" s="172"/>
      <c r="AM39" s="172"/>
      <c r="AN39" s="172"/>
      <c r="AO39" s="172"/>
      <c r="AP39" s="172"/>
      <c r="AQ39" s="172"/>
      <c r="AR39" s="169"/>
      <c r="AS39" s="169"/>
      <c r="AU39" s="46"/>
    </row>
    <row r="40" spans="1:47" x14ac:dyDescent="0.25">
      <c r="A40" s="133"/>
      <c r="B40" s="184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36"/>
      <c r="AI40" s="136"/>
      <c r="AJ40" s="15"/>
      <c r="AK40" s="173"/>
      <c r="AL40" s="173"/>
      <c r="AM40" s="173"/>
      <c r="AN40" s="173"/>
      <c r="AO40" s="173"/>
      <c r="AP40" s="173"/>
      <c r="AQ40" s="173"/>
      <c r="AR40" s="170"/>
      <c r="AS40" s="170"/>
      <c r="AU40" s="46"/>
    </row>
    <row r="41" spans="1:47" x14ac:dyDescent="0.25">
      <c r="A41" s="131">
        <v>13</v>
      </c>
      <c r="B41" s="182" t="s">
        <v>87</v>
      </c>
      <c r="C41" s="1" t="s">
        <v>52</v>
      </c>
      <c r="D41" s="1" t="s">
        <v>41</v>
      </c>
      <c r="E41" s="1" t="s">
        <v>41</v>
      </c>
      <c r="F41" s="1" t="s">
        <v>41</v>
      </c>
      <c r="G41" s="1" t="s">
        <v>41</v>
      </c>
      <c r="H41" s="1" t="s">
        <v>41</v>
      </c>
      <c r="I41" s="1" t="s">
        <v>41</v>
      </c>
      <c r="J41" s="1" t="s">
        <v>41</v>
      </c>
      <c r="K41" s="1" t="s">
        <v>41</v>
      </c>
      <c r="L41" s="1" t="s">
        <v>41</v>
      </c>
      <c r="M41" s="1" t="s">
        <v>41</v>
      </c>
      <c r="N41" s="1" t="s">
        <v>41</v>
      </c>
      <c r="O41" s="1" t="s">
        <v>41</v>
      </c>
      <c r="P41" s="1" t="s">
        <v>41</v>
      </c>
      <c r="Q41" s="1" t="s">
        <v>41</v>
      </c>
      <c r="R41" s="1" t="s">
        <v>41</v>
      </c>
      <c r="S41" s="1" t="s">
        <v>41</v>
      </c>
      <c r="T41" s="1" t="s">
        <v>41</v>
      </c>
      <c r="U41" s="1" t="s">
        <v>41</v>
      </c>
      <c r="V41" s="1" t="s">
        <v>41</v>
      </c>
      <c r="W41" s="1" t="s">
        <v>41</v>
      </c>
      <c r="X41" s="1" t="s">
        <v>41</v>
      </c>
      <c r="Y41" s="1" t="s">
        <v>41</v>
      </c>
      <c r="Z41" s="1" t="s">
        <v>41</v>
      </c>
      <c r="AA41" s="1" t="s">
        <v>41</v>
      </c>
      <c r="AB41" s="1" t="s">
        <v>52</v>
      </c>
      <c r="AC41" s="1" t="s">
        <v>41</v>
      </c>
      <c r="AD41" s="1" t="s">
        <v>41</v>
      </c>
      <c r="AE41" s="1" t="s">
        <v>52</v>
      </c>
      <c r="AF41" s="1" t="s">
        <v>52</v>
      </c>
      <c r="AG41" s="1"/>
      <c r="AH41" s="134">
        <f>COUNTIF(C41:AG41,"P")</f>
        <v>26</v>
      </c>
      <c r="AI41" s="134">
        <f>COUNTIF(D41:AH41,"P/2")</f>
        <v>0</v>
      </c>
      <c r="AJ41" s="15"/>
      <c r="AK41" s="171">
        <f>COUNTIF(C43:AG43,"BAAS")</f>
        <v>0</v>
      </c>
      <c r="AL41" s="171">
        <f>COUNTIF(D43:AH43,"RCML")</f>
        <v>0</v>
      </c>
      <c r="AM41" s="171">
        <f>COUNTIF(E43:AJ43,"PRE")</f>
        <v>0</v>
      </c>
      <c r="AN41" s="171">
        <f>COUNTIF(F43:AK43,"BAKR")</f>
        <v>0</v>
      </c>
      <c r="AO41" s="171">
        <v>700</v>
      </c>
      <c r="AP41" s="171">
        <f>AO41*AI41/2</f>
        <v>0</v>
      </c>
      <c r="AQ41" s="171">
        <f>AH41*AO41+AP41</f>
        <v>18200</v>
      </c>
      <c r="AR41" s="168">
        <f>AJ42/8*AO41</f>
        <v>4550</v>
      </c>
      <c r="AS41" s="168">
        <f>AQ41+AR41</f>
        <v>22750</v>
      </c>
      <c r="AU41" s="46"/>
    </row>
    <row r="42" spans="1:47" x14ac:dyDescent="0.25">
      <c r="A42" s="132"/>
      <c r="B42" s="183"/>
      <c r="C42" s="13" t="s">
        <v>103</v>
      </c>
      <c r="D42" s="9" t="s">
        <v>104</v>
      </c>
      <c r="E42" s="9" t="s">
        <v>103</v>
      </c>
      <c r="F42" s="9">
        <v>2</v>
      </c>
      <c r="G42" s="9">
        <v>5</v>
      </c>
      <c r="H42" s="9">
        <v>4</v>
      </c>
      <c r="I42" s="9" t="s">
        <v>103</v>
      </c>
      <c r="J42" s="9">
        <v>3</v>
      </c>
      <c r="K42" s="9">
        <v>4</v>
      </c>
      <c r="L42" s="9">
        <v>1</v>
      </c>
      <c r="M42" s="9">
        <v>3</v>
      </c>
      <c r="N42" s="9" t="s">
        <v>103</v>
      </c>
      <c r="O42" s="9">
        <v>2</v>
      </c>
      <c r="P42" s="9">
        <v>2</v>
      </c>
      <c r="Q42" s="9">
        <v>3</v>
      </c>
      <c r="R42" s="9">
        <v>4</v>
      </c>
      <c r="S42" s="9" t="s">
        <v>103</v>
      </c>
      <c r="T42" s="9">
        <v>3</v>
      </c>
      <c r="U42" s="9">
        <v>2</v>
      </c>
      <c r="V42" s="9">
        <v>2</v>
      </c>
      <c r="W42" s="9">
        <v>2</v>
      </c>
      <c r="X42" s="9">
        <v>3</v>
      </c>
      <c r="Y42" s="9">
        <v>2</v>
      </c>
      <c r="Z42" s="9" t="s">
        <v>103</v>
      </c>
      <c r="AA42" s="9">
        <v>2</v>
      </c>
      <c r="AB42" s="13" t="s">
        <v>103</v>
      </c>
      <c r="AC42" s="9" t="s">
        <v>103</v>
      </c>
      <c r="AD42" s="9">
        <v>3</v>
      </c>
      <c r="AE42" s="13" t="s">
        <v>103</v>
      </c>
      <c r="AF42" s="13" t="s">
        <v>103</v>
      </c>
      <c r="AG42" s="9"/>
      <c r="AH42" s="135"/>
      <c r="AI42" s="135"/>
      <c r="AJ42" s="15">
        <f>SUM(C42:AG42)</f>
        <v>52</v>
      </c>
      <c r="AK42" s="172"/>
      <c r="AL42" s="172"/>
      <c r="AM42" s="172"/>
      <c r="AN42" s="172"/>
      <c r="AO42" s="172"/>
      <c r="AP42" s="172"/>
      <c r="AQ42" s="172"/>
      <c r="AR42" s="169"/>
      <c r="AS42" s="169"/>
      <c r="AU42" s="46"/>
    </row>
    <row r="43" spans="1:47" x14ac:dyDescent="0.25">
      <c r="A43" s="133"/>
      <c r="B43" s="184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"/>
      <c r="AC43" s="11"/>
      <c r="AD43" s="11"/>
      <c r="AE43" s="11"/>
      <c r="AF43" s="1"/>
      <c r="AG43" s="11"/>
      <c r="AH43" s="136"/>
      <c r="AI43" s="136"/>
      <c r="AJ43" s="15"/>
      <c r="AK43" s="173"/>
      <c r="AL43" s="173"/>
      <c r="AM43" s="173"/>
      <c r="AN43" s="173"/>
      <c r="AO43" s="173"/>
      <c r="AP43" s="173"/>
      <c r="AQ43" s="173"/>
      <c r="AR43" s="170"/>
      <c r="AS43" s="170"/>
      <c r="AU43" s="46"/>
    </row>
    <row r="44" spans="1:47" x14ac:dyDescent="0.25">
      <c r="A44" s="131">
        <v>14</v>
      </c>
      <c r="B44" s="182" t="s">
        <v>88</v>
      </c>
      <c r="C44" s="1" t="s">
        <v>52</v>
      </c>
      <c r="D44" s="1" t="s">
        <v>52</v>
      </c>
      <c r="E44" s="1" t="s">
        <v>41</v>
      </c>
      <c r="F44" s="1" t="s">
        <v>41</v>
      </c>
      <c r="G44" s="1" t="s">
        <v>41</v>
      </c>
      <c r="H44" s="1" t="s">
        <v>41</v>
      </c>
      <c r="I44" s="1" t="s">
        <v>56</v>
      </c>
      <c r="J44" s="1" t="s">
        <v>41</v>
      </c>
      <c r="K44" s="1" t="s">
        <v>41</v>
      </c>
      <c r="L44" s="1" t="s">
        <v>41</v>
      </c>
      <c r="M44" s="1" t="s">
        <v>41</v>
      </c>
      <c r="N44" s="1" t="s">
        <v>41</v>
      </c>
      <c r="O44" s="1" t="s">
        <v>41</v>
      </c>
      <c r="P44" s="1" t="s">
        <v>41</v>
      </c>
      <c r="Q44" s="1" t="s">
        <v>41</v>
      </c>
      <c r="R44" s="1" t="s">
        <v>41</v>
      </c>
      <c r="S44" s="1" t="s">
        <v>41</v>
      </c>
      <c r="T44" s="1" t="s">
        <v>41</v>
      </c>
      <c r="U44" s="1" t="s">
        <v>41</v>
      </c>
      <c r="V44" s="1" t="s">
        <v>41</v>
      </c>
      <c r="W44" s="1" t="s">
        <v>41</v>
      </c>
      <c r="X44" s="1" t="s">
        <v>41</v>
      </c>
      <c r="Y44" s="1" t="s">
        <v>41</v>
      </c>
      <c r="Z44" s="1" t="s">
        <v>41</v>
      </c>
      <c r="AA44" s="1" t="s">
        <v>41</v>
      </c>
      <c r="AB44" s="1" t="s">
        <v>52</v>
      </c>
      <c r="AC44" s="1" t="s">
        <v>41</v>
      </c>
      <c r="AD44" s="1" t="s">
        <v>41</v>
      </c>
      <c r="AE44" s="1" t="s">
        <v>41</v>
      </c>
      <c r="AF44" s="1" t="s">
        <v>52</v>
      </c>
      <c r="AG44" s="1"/>
      <c r="AH44" s="134">
        <f>COUNTIF(C44:AG44,"P")</f>
        <v>25</v>
      </c>
      <c r="AI44" s="134">
        <f>COUNTIF(D44:AH44,"P/2")</f>
        <v>1</v>
      </c>
      <c r="AJ44" s="15"/>
      <c r="AK44" s="171">
        <f>COUNTIF(C46:AG46,"BAAS")</f>
        <v>0</v>
      </c>
      <c r="AL44" s="171">
        <f>COUNTIF(D46:AH46,"RCML")</f>
        <v>0</v>
      </c>
      <c r="AM44" s="171">
        <f>COUNTIF(E46:AJ46,"PRE")</f>
        <v>0</v>
      </c>
      <c r="AN44" s="171">
        <f>COUNTIF(F46:AK46,"BAKR")</f>
        <v>0</v>
      </c>
      <c r="AO44" s="171">
        <v>700</v>
      </c>
      <c r="AP44" s="171">
        <f>AO44*AI44/2</f>
        <v>350</v>
      </c>
      <c r="AQ44" s="171">
        <f>AH44*AO44+AP44</f>
        <v>17850</v>
      </c>
      <c r="AR44" s="168">
        <f>AJ45/8*AO44</f>
        <v>6125</v>
      </c>
      <c r="AS44" s="168">
        <f>AQ44+AR44</f>
        <v>23975</v>
      </c>
      <c r="AU44" s="46"/>
    </row>
    <row r="45" spans="1:47" x14ac:dyDescent="0.25">
      <c r="A45" s="132"/>
      <c r="B45" s="183"/>
      <c r="C45" s="13" t="s">
        <v>103</v>
      </c>
      <c r="D45" s="13" t="s">
        <v>103</v>
      </c>
      <c r="E45" s="9">
        <v>2</v>
      </c>
      <c r="F45" s="9">
        <v>5</v>
      </c>
      <c r="G45" s="9">
        <v>2</v>
      </c>
      <c r="H45" s="9" t="s">
        <v>103</v>
      </c>
      <c r="I45" s="9" t="s">
        <v>103</v>
      </c>
      <c r="J45" s="9">
        <v>5</v>
      </c>
      <c r="K45" s="9">
        <v>5</v>
      </c>
      <c r="L45" s="9">
        <v>4</v>
      </c>
      <c r="M45" s="9" t="s">
        <v>103</v>
      </c>
      <c r="N45" s="9" t="s">
        <v>103</v>
      </c>
      <c r="O45" s="9">
        <v>2</v>
      </c>
      <c r="P45" s="9">
        <v>2</v>
      </c>
      <c r="Q45" s="9">
        <v>5</v>
      </c>
      <c r="R45" s="9">
        <v>2</v>
      </c>
      <c r="S45" s="9">
        <v>5</v>
      </c>
      <c r="T45" s="9">
        <v>3</v>
      </c>
      <c r="U45" s="9">
        <v>5</v>
      </c>
      <c r="V45" s="9">
        <v>3</v>
      </c>
      <c r="W45" s="9">
        <v>5</v>
      </c>
      <c r="X45" s="9">
        <v>4</v>
      </c>
      <c r="Y45" s="9">
        <v>2</v>
      </c>
      <c r="Z45" s="9">
        <v>1</v>
      </c>
      <c r="AA45" s="9">
        <v>2</v>
      </c>
      <c r="AB45" s="13" t="s">
        <v>103</v>
      </c>
      <c r="AC45" s="9">
        <v>2</v>
      </c>
      <c r="AD45" s="9">
        <v>4</v>
      </c>
      <c r="AE45" s="9" t="s">
        <v>103</v>
      </c>
      <c r="AF45" s="13" t="s">
        <v>103</v>
      </c>
      <c r="AG45" s="9"/>
      <c r="AH45" s="135"/>
      <c r="AI45" s="135"/>
      <c r="AJ45" s="15">
        <f>SUM(C45:AG45)</f>
        <v>70</v>
      </c>
      <c r="AK45" s="172"/>
      <c r="AL45" s="172"/>
      <c r="AM45" s="172"/>
      <c r="AN45" s="172"/>
      <c r="AO45" s="172"/>
      <c r="AP45" s="172"/>
      <c r="AQ45" s="172"/>
      <c r="AR45" s="169"/>
      <c r="AS45" s="169"/>
      <c r="AU45" s="46"/>
    </row>
    <row r="46" spans="1:47" x14ac:dyDescent="0.25">
      <c r="A46" s="133"/>
      <c r="B46" s="184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36"/>
      <c r="AI46" s="136"/>
      <c r="AJ46" s="15"/>
      <c r="AK46" s="173"/>
      <c r="AL46" s="173"/>
      <c r="AM46" s="173"/>
      <c r="AN46" s="173"/>
      <c r="AO46" s="173"/>
      <c r="AP46" s="173"/>
      <c r="AQ46" s="173"/>
      <c r="AR46" s="170"/>
      <c r="AS46" s="170"/>
      <c r="AU46" s="46"/>
    </row>
    <row r="47" spans="1:47" x14ac:dyDescent="0.25">
      <c r="A47" s="131">
        <v>15</v>
      </c>
      <c r="B47" s="182" t="s">
        <v>89</v>
      </c>
      <c r="C47" s="1" t="s">
        <v>52</v>
      </c>
      <c r="D47" s="1" t="s">
        <v>52</v>
      </c>
      <c r="E47" s="1" t="s">
        <v>41</v>
      </c>
      <c r="F47" s="1" t="s">
        <v>41</v>
      </c>
      <c r="G47" s="1" t="s">
        <v>41</v>
      </c>
      <c r="H47" s="1" t="s">
        <v>41</v>
      </c>
      <c r="I47" s="1" t="s">
        <v>56</v>
      </c>
      <c r="J47" s="1" t="s">
        <v>41</v>
      </c>
      <c r="K47" s="1" t="s">
        <v>41</v>
      </c>
      <c r="L47" s="1" t="s">
        <v>41</v>
      </c>
      <c r="M47" s="1" t="s">
        <v>41</v>
      </c>
      <c r="N47" s="1" t="s">
        <v>41</v>
      </c>
      <c r="O47" s="1" t="s">
        <v>41</v>
      </c>
      <c r="P47" s="1" t="s">
        <v>41</v>
      </c>
      <c r="Q47" s="1" t="s">
        <v>41</v>
      </c>
      <c r="R47" s="1" t="s">
        <v>41</v>
      </c>
      <c r="S47" s="1" t="s">
        <v>41</v>
      </c>
      <c r="T47" s="1" t="s">
        <v>41</v>
      </c>
      <c r="U47" s="1" t="s">
        <v>41</v>
      </c>
      <c r="V47" s="1" t="s">
        <v>41</v>
      </c>
      <c r="W47" s="1" t="s">
        <v>41</v>
      </c>
      <c r="X47" s="1" t="s">
        <v>41</v>
      </c>
      <c r="Y47" s="1" t="s">
        <v>41</v>
      </c>
      <c r="Z47" s="1" t="s">
        <v>41</v>
      </c>
      <c r="AA47" s="1" t="s">
        <v>41</v>
      </c>
      <c r="AB47" s="1" t="s">
        <v>52</v>
      </c>
      <c r="AC47" s="1" t="s">
        <v>41</v>
      </c>
      <c r="AD47" s="1" t="s">
        <v>41</v>
      </c>
      <c r="AE47" s="1" t="s">
        <v>52</v>
      </c>
      <c r="AF47" s="1" t="s">
        <v>52</v>
      </c>
      <c r="AG47" s="1"/>
      <c r="AH47" s="134">
        <f>COUNTIF(C47:AG47,"P")</f>
        <v>24</v>
      </c>
      <c r="AI47" s="134">
        <f>COUNTIF(D47:AH47,"P/2")</f>
        <v>1</v>
      </c>
      <c r="AJ47" s="15"/>
      <c r="AK47" s="171">
        <f>COUNTIF(C49:AG49,"BAAS")</f>
        <v>0</v>
      </c>
      <c r="AL47" s="171">
        <f>COUNTIF(D49:AH49,"RCML")</f>
        <v>0</v>
      </c>
      <c r="AM47" s="171">
        <f>COUNTIF(E49:AJ49,"PRE")</f>
        <v>0</v>
      </c>
      <c r="AN47" s="171">
        <f>COUNTIF(F49:AK49,"BAKR")</f>
        <v>0</v>
      </c>
      <c r="AO47" s="171">
        <v>800</v>
      </c>
      <c r="AP47" s="171">
        <f>AO47*AI47/2</f>
        <v>400</v>
      </c>
      <c r="AQ47" s="171">
        <f>AH47*AO47+AP47</f>
        <v>19600</v>
      </c>
      <c r="AR47" s="168">
        <f>AJ48/8*AO47</f>
        <v>6100</v>
      </c>
      <c r="AS47" s="168">
        <f>AQ47+AR47</f>
        <v>25700</v>
      </c>
      <c r="AU47" s="46"/>
    </row>
    <row r="48" spans="1:47" x14ac:dyDescent="0.25">
      <c r="A48" s="132"/>
      <c r="B48" s="183"/>
      <c r="C48" s="13" t="s">
        <v>103</v>
      </c>
      <c r="D48" s="13" t="s">
        <v>103</v>
      </c>
      <c r="E48" s="9" t="s">
        <v>103</v>
      </c>
      <c r="F48" s="9">
        <v>2</v>
      </c>
      <c r="G48" s="9">
        <v>4</v>
      </c>
      <c r="H48" s="9">
        <v>2</v>
      </c>
      <c r="I48" s="9" t="s">
        <v>103</v>
      </c>
      <c r="J48" s="9">
        <v>6</v>
      </c>
      <c r="K48" s="9">
        <v>6</v>
      </c>
      <c r="L48" s="9">
        <v>4</v>
      </c>
      <c r="M48" s="9" t="s">
        <v>103</v>
      </c>
      <c r="N48" s="9" t="s">
        <v>103</v>
      </c>
      <c r="O48" s="9" t="s">
        <v>103</v>
      </c>
      <c r="P48" s="9">
        <v>2</v>
      </c>
      <c r="Q48" s="9">
        <v>3</v>
      </c>
      <c r="R48" s="9">
        <v>4</v>
      </c>
      <c r="S48" s="9">
        <v>4</v>
      </c>
      <c r="T48" s="9">
        <v>5</v>
      </c>
      <c r="U48" s="9" t="s">
        <v>103</v>
      </c>
      <c r="V48" s="9">
        <v>3</v>
      </c>
      <c r="W48" s="9">
        <v>5</v>
      </c>
      <c r="X48" s="9">
        <v>4</v>
      </c>
      <c r="Y48" s="9">
        <v>2</v>
      </c>
      <c r="Z48" s="9" t="s">
        <v>103</v>
      </c>
      <c r="AA48" s="9">
        <v>2</v>
      </c>
      <c r="AB48" s="13" t="s">
        <v>103</v>
      </c>
      <c r="AC48" s="9" t="s">
        <v>103</v>
      </c>
      <c r="AD48" s="9">
        <v>3</v>
      </c>
      <c r="AE48" s="13" t="s">
        <v>103</v>
      </c>
      <c r="AF48" s="13" t="s">
        <v>103</v>
      </c>
      <c r="AG48" s="9"/>
      <c r="AH48" s="135"/>
      <c r="AI48" s="135"/>
      <c r="AJ48" s="15">
        <f>SUM(C48:AG48)</f>
        <v>61</v>
      </c>
      <c r="AK48" s="172"/>
      <c r="AL48" s="172"/>
      <c r="AM48" s="172"/>
      <c r="AN48" s="172"/>
      <c r="AO48" s="172"/>
      <c r="AP48" s="172"/>
      <c r="AQ48" s="172"/>
      <c r="AR48" s="169"/>
      <c r="AS48" s="169"/>
      <c r="AU48" s="46"/>
    </row>
    <row r="49" spans="1:47" x14ac:dyDescent="0.25">
      <c r="A49" s="133"/>
      <c r="B49" s="184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36"/>
      <c r="AI49" s="136"/>
      <c r="AJ49" s="15"/>
      <c r="AK49" s="173"/>
      <c r="AL49" s="173"/>
      <c r="AM49" s="173"/>
      <c r="AN49" s="173"/>
      <c r="AO49" s="173"/>
      <c r="AP49" s="173"/>
      <c r="AQ49" s="173"/>
      <c r="AR49" s="170"/>
      <c r="AS49" s="170"/>
      <c r="AU49" s="46"/>
    </row>
    <row r="50" spans="1:47" x14ac:dyDescent="0.25">
      <c r="A50" s="131">
        <v>16</v>
      </c>
      <c r="B50" s="182" t="s">
        <v>90</v>
      </c>
      <c r="C50" s="1" t="s">
        <v>52</v>
      </c>
      <c r="D50" s="1" t="s">
        <v>52</v>
      </c>
      <c r="E50" s="1" t="s">
        <v>41</v>
      </c>
      <c r="F50" s="1" t="s">
        <v>41</v>
      </c>
      <c r="G50" s="1" t="s">
        <v>41</v>
      </c>
      <c r="H50" s="1" t="s">
        <v>41</v>
      </c>
      <c r="I50" s="1" t="s">
        <v>52</v>
      </c>
      <c r="J50" s="1" t="s">
        <v>41</v>
      </c>
      <c r="K50" s="1" t="s">
        <v>41</v>
      </c>
      <c r="L50" s="1" t="s">
        <v>41</v>
      </c>
      <c r="M50" s="1" t="s">
        <v>41</v>
      </c>
      <c r="N50" s="1" t="s">
        <v>52</v>
      </c>
      <c r="O50" s="1" t="s">
        <v>52</v>
      </c>
      <c r="P50" s="1" t="s">
        <v>41</v>
      </c>
      <c r="Q50" s="1" t="s">
        <v>41</v>
      </c>
      <c r="R50" s="1" t="s">
        <v>41</v>
      </c>
      <c r="S50" s="1" t="s">
        <v>41</v>
      </c>
      <c r="T50" s="1" t="s">
        <v>41</v>
      </c>
      <c r="U50" s="1" t="s">
        <v>41</v>
      </c>
      <c r="V50" s="1" t="s">
        <v>52</v>
      </c>
      <c r="W50" s="1" t="s">
        <v>41</v>
      </c>
      <c r="X50" s="1" t="s">
        <v>41</v>
      </c>
      <c r="Y50" s="1" t="s">
        <v>41</v>
      </c>
      <c r="Z50" s="1" t="s">
        <v>41</v>
      </c>
      <c r="AA50" s="1" t="s">
        <v>41</v>
      </c>
      <c r="AB50" s="1" t="s">
        <v>52</v>
      </c>
      <c r="AC50" s="1" t="s">
        <v>41</v>
      </c>
      <c r="AD50" s="1" t="s">
        <v>41</v>
      </c>
      <c r="AE50" s="1" t="s">
        <v>52</v>
      </c>
      <c r="AF50" s="1" t="s">
        <v>52</v>
      </c>
      <c r="AG50" s="1"/>
      <c r="AH50" s="134">
        <f>COUNTIF(C50:AG50,"P")</f>
        <v>21</v>
      </c>
      <c r="AI50" s="134">
        <f>COUNTIF(D50:AH50,"P/2")</f>
        <v>0</v>
      </c>
      <c r="AJ50" s="15"/>
      <c r="AK50" s="171">
        <f>COUNTIF(C52:AG52,"BAAS")</f>
        <v>0</v>
      </c>
      <c r="AL50" s="171">
        <f>COUNTIF(D52:AH52,"RCML")</f>
        <v>0</v>
      </c>
      <c r="AM50" s="171">
        <f>COUNTIF(E52:AJ52,"PRE")</f>
        <v>0</v>
      </c>
      <c r="AN50" s="171">
        <f>COUNTIF(F52:AK52,"BAKR")</f>
        <v>0</v>
      </c>
      <c r="AO50" s="171">
        <v>600</v>
      </c>
      <c r="AP50" s="171">
        <f>AO50*AI50/2</f>
        <v>0</v>
      </c>
      <c r="AQ50" s="171">
        <f>AH50*AO50+AP50</f>
        <v>12600</v>
      </c>
      <c r="AR50" s="168">
        <f>AJ51/8*AO50</f>
        <v>3525</v>
      </c>
      <c r="AS50" s="168">
        <f>AQ50+AR50</f>
        <v>16125</v>
      </c>
      <c r="AU50" s="46"/>
    </row>
    <row r="51" spans="1:47" x14ac:dyDescent="0.25">
      <c r="A51" s="132"/>
      <c r="B51" s="183"/>
      <c r="C51" s="13" t="s">
        <v>103</v>
      </c>
      <c r="D51" s="13" t="s">
        <v>103</v>
      </c>
      <c r="E51" s="9" t="s">
        <v>103</v>
      </c>
      <c r="F51" s="9">
        <v>2</v>
      </c>
      <c r="G51" s="9">
        <v>4</v>
      </c>
      <c r="H51" s="9">
        <v>2</v>
      </c>
      <c r="I51" s="13" t="s">
        <v>103</v>
      </c>
      <c r="J51" s="13">
        <v>3</v>
      </c>
      <c r="K51" s="9">
        <v>4</v>
      </c>
      <c r="L51" s="9">
        <v>1</v>
      </c>
      <c r="M51" s="9" t="s">
        <v>103</v>
      </c>
      <c r="N51" s="13" t="s">
        <v>103</v>
      </c>
      <c r="O51" s="13" t="s">
        <v>103</v>
      </c>
      <c r="P51" s="9">
        <v>2</v>
      </c>
      <c r="Q51" s="9">
        <v>6</v>
      </c>
      <c r="R51" s="9">
        <v>3</v>
      </c>
      <c r="S51" s="9">
        <v>5</v>
      </c>
      <c r="T51" s="9">
        <v>2</v>
      </c>
      <c r="U51" s="9">
        <v>3</v>
      </c>
      <c r="V51" s="13" t="s">
        <v>103</v>
      </c>
      <c r="W51" s="9">
        <v>2</v>
      </c>
      <c r="X51" s="9">
        <v>1</v>
      </c>
      <c r="Y51" s="9" t="s">
        <v>103</v>
      </c>
      <c r="Z51" s="9" t="s">
        <v>103</v>
      </c>
      <c r="AA51" s="9">
        <v>2</v>
      </c>
      <c r="AB51" s="13" t="s">
        <v>103</v>
      </c>
      <c r="AC51" s="9">
        <v>2</v>
      </c>
      <c r="AD51" s="9">
        <v>3</v>
      </c>
      <c r="AE51" s="13" t="s">
        <v>103</v>
      </c>
      <c r="AF51" s="13" t="s">
        <v>103</v>
      </c>
      <c r="AG51" s="9"/>
      <c r="AH51" s="135"/>
      <c r="AI51" s="135"/>
      <c r="AJ51" s="15">
        <f>SUM(C51:AG51)</f>
        <v>47</v>
      </c>
      <c r="AK51" s="172"/>
      <c r="AL51" s="172"/>
      <c r="AM51" s="172"/>
      <c r="AN51" s="172"/>
      <c r="AO51" s="172"/>
      <c r="AP51" s="172"/>
      <c r="AQ51" s="172"/>
      <c r="AR51" s="169"/>
      <c r="AS51" s="169"/>
      <c r="AT51">
        <v>22</v>
      </c>
      <c r="AU51" s="46"/>
    </row>
    <row r="52" spans="1:47" x14ac:dyDescent="0.25">
      <c r="A52" s="133"/>
      <c r="B52" s="184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36"/>
      <c r="AI52" s="136"/>
      <c r="AJ52" s="15"/>
      <c r="AK52" s="173"/>
      <c r="AL52" s="173"/>
      <c r="AM52" s="173"/>
      <c r="AN52" s="173"/>
      <c r="AO52" s="173"/>
      <c r="AP52" s="173"/>
      <c r="AQ52" s="173"/>
      <c r="AR52" s="170"/>
      <c r="AS52" s="170"/>
      <c r="AU52" s="46"/>
    </row>
    <row r="53" spans="1:47" x14ac:dyDescent="0.25">
      <c r="A53" s="131">
        <v>17</v>
      </c>
      <c r="B53" s="182" t="s">
        <v>91</v>
      </c>
      <c r="C53" s="1" t="s">
        <v>52</v>
      </c>
      <c r="D53" s="1" t="s">
        <v>52</v>
      </c>
      <c r="E53" s="1" t="s">
        <v>41</v>
      </c>
      <c r="F53" s="1" t="s">
        <v>41</v>
      </c>
      <c r="G53" s="1" t="s">
        <v>41</v>
      </c>
      <c r="H53" s="1" t="s">
        <v>41</v>
      </c>
      <c r="I53" s="1" t="s">
        <v>56</v>
      </c>
      <c r="J53" s="1" t="s">
        <v>41</v>
      </c>
      <c r="K53" s="1" t="s">
        <v>41</v>
      </c>
      <c r="L53" s="1" t="s">
        <v>41</v>
      </c>
      <c r="M53" s="1" t="s">
        <v>41</v>
      </c>
      <c r="N53" s="1" t="s">
        <v>41</v>
      </c>
      <c r="O53" s="1" t="s">
        <v>41</v>
      </c>
      <c r="P53" s="1" t="s">
        <v>41</v>
      </c>
      <c r="Q53" s="1" t="s">
        <v>41</v>
      </c>
      <c r="R53" s="1" t="s">
        <v>41</v>
      </c>
      <c r="S53" s="1" t="s">
        <v>41</v>
      </c>
      <c r="T53" s="1" t="s">
        <v>41</v>
      </c>
      <c r="U53" s="1" t="s">
        <v>41</v>
      </c>
      <c r="V53" s="1" t="s">
        <v>41</v>
      </c>
      <c r="W53" s="1" t="s">
        <v>41</v>
      </c>
      <c r="X53" s="1" t="s">
        <v>41</v>
      </c>
      <c r="Y53" s="1" t="s">
        <v>41</v>
      </c>
      <c r="Z53" s="1" t="s">
        <v>41</v>
      </c>
      <c r="AA53" s="1" t="s">
        <v>41</v>
      </c>
      <c r="AB53" s="1" t="s">
        <v>52</v>
      </c>
      <c r="AC53" s="1" t="s">
        <v>41</v>
      </c>
      <c r="AD53" s="1" t="s">
        <v>41</v>
      </c>
      <c r="AE53" s="1" t="s">
        <v>41</v>
      </c>
      <c r="AF53" s="1" t="s">
        <v>52</v>
      </c>
      <c r="AG53" s="1"/>
      <c r="AH53" s="134">
        <f>COUNTIF(C53:AG53,"P")</f>
        <v>25</v>
      </c>
      <c r="AI53" s="134">
        <f>COUNTIF(D53:AH53,"P/2")</f>
        <v>1</v>
      </c>
      <c r="AJ53" s="15"/>
      <c r="AK53" s="171">
        <f>COUNTIF(C55:AG55,"BAAS")</f>
        <v>0</v>
      </c>
      <c r="AL53" s="171">
        <f>COUNTIF(D55:AH55,"RCML")</f>
        <v>0</v>
      </c>
      <c r="AM53" s="171">
        <f>COUNTIF(E55:AJ55,"PRE")</f>
        <v>0</v>
      </c>
      <c r="AN53" s="171">
        <f>COUNTIF(F55:AK55,"BAKR")</f>
        <v>0</v>
      </c>
      <c r="AO53" s="171">
        <v>600</v>
      </c>
      <c r="AP53" s="171">
        <f>AO53*AI53/2</f>
        <v>300</v>
      </c>
      <c r="AQ53" s="171">
        <f>AH53*AO53+AP53</f>
        <v>15300</v>
      </c>
      <c r="AR53" s="168">
        <f>AJ54/8*AO53</f>
        <v>6000</v>
      </c>
      <c r="AS53" s="168">
        <f>AQ53+AR53</f>
        <v>21300</v>
      </c>
      <c r="AU53" s="46"/>
    </row>
    <row r="54" spans="1:47" x14ac:dyDescent="0.25">
      <c r="A54" s="132"/>
      <c r="B54" s="183"/>
      <c r="C54" s="13" t="s">
        <v>103</v>
      </c>
      <c r="D54" s="13" t="s">
        <v>103</v>
      </c>
      <c r="E54" s="9" t="s">
        <v>103</v>
      </c>
      <c r="F54" s="9">
        <v>2</v>
      </c>
      <c r="G54" s="9">
        <v>6</v>
      </c>
      <c r="H54" s="9">
        <v>2</v>
      </c>
      <c r="I54" s="9" t="s">
        <v>103</v>
      </c>
      <c r="J54" s="9">
        <v>5</v>
      </c>
      <c r="K54" s="9">
        <v>5</v>
      </c>
      <c r="L54" s="9">
        <v>4</v>
      </c>
      <c r="M54" s="9">
        <v>3</v>
      </c>
      <c r="N54" s="9" t="s">
        <v>103</v>
      </c>
      <c r="O54" s="9">
        <v>2</v>
      </c>
      <c r="P54" s="9">
        <v>3</v>
      </c>
      <c r="Q54" s="9">
        <v>7</v>
      </c>
      <c r="R54" s="9">
        <v>6</v>
      </c>
      <c r="S54" s="9">
        <v>4</v>
      </c>
      <c r="T54" s="9">
        <v>5</v>
      </c>
      <c r="U54" s="9">
        <v>3</v>
      </c>
      <c r="V54" s="9">
        <v>2</v>
      </c>
      <c r="W54" s="9">
        <v>5</v>
      </c>
      <c r="X54" s="9">
        <v>4</v>
      </c>
      <c r="Y54" s="9">
        <v>3</v>
      </c>
      <c r="Z54" s="9">
        <v>1</v>
      </c>
      <c r="AA54" s="9">
        <v>2</v>
      </c>
      <c r="AB54" s="13" t="s">
        <v>103</v>
      </c>
      <c r="AC54" s="9">
        <v>2</v>
      </c>
      <c r="AD54" s="9">
        <v>4</v>
      </c>
      <c r="AE54" s="9" t="s">
        <v>103</v>
      </c>
      <c r="AF54" s="13" t="s">
        <v>103</v>
      </c>
      <c r="AG54" s="9"/>
      <c r="AH54" s="135"/>
      <c r="AI54" s="135"/>
      <c r="AJ54" s="15">
        <f>SUM(C54:AG54)</f>
        <v>80</v>
      </c>
      <c r="AK54" s="172"/>
      <c r="AL54" s="172"/>
      <c r="AM54" s="172"/>
      <c r="AN54" s="172"/>
      <c r="AO54" s="172"/>
      <c r="AP54" s="172"/>
      <c r="AQ54" s="172"/>
      <c r="AR54" s="169"/>
      <c r="AS54" s="169"/>
      <c r="AU54" s="46">
        <v>79</v>
      </c>
    </row>
    <row r="55" spans="1:47" x14ac:dyDescent="0.25">
      <c r="A55" s="133"/>
      <c r="B55" s="184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36"/>
      <c r="AI55" s="136"/>
      <c r="AJ55" s="15"/>
      <c r="AK55" s="173"/>
      <c r="AL55" s="173"/>
      <c r="AM55" s="173"/>
      <c r="AN55" s="173"/>
      <c r="AO55" s="173"/>
      <c r="AP55" s="173"/>
      <c r="AQ55" s="173"/>
      <c r="AR55" s="170"/>
      <c r="AS55" s="170"/>
      <c r="AU55" s="46"/>
    </row>
    <row r="56" spans="1:47" ht="14.45" hidden="1" customHeight="1" x14ac:dyDescent="0.25">
      <c r="B56" s="5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>
        <f>SUM(C56:AG56)</f>
        <v>0</v>
      </c>
      <c r="AR56" s="51"/>
      <c r="AS56" s="46"/>
      <c r="AU56" s="46"/>
    </row>
    <row r="57" spans="1:47" ht="14.45" hidden="1" customHeight="1" x14ac:dyDescent="0.25">
      <c r="B57" s="52"/>
      <c r="AH57">
        <f>SUM(C57:AG57)</f>
        <v>0</v>
      </c>
      <c r="AR57" s="51"/>
      <c r="AS57" s="46"/>
      <c r="AU57" s="46"/>
    </row>
    <row r="58" spans="1:47" ht="14.45" hidden="1" customHeight="1" x14ac:dyDescent="0.25">
      <c r="B58" s="52"/>
      <c r="AH58">
        <f>SUM(C58:AG58)</f>
        <v>0</v>
      </c>
      <c r="AR58" s="51"/>
      <c r="AS58" s="46"/>
      <c r="AU58" s="46"/>
    </row>
    <row r="59" spans="1:47" ht="14.45" hidden="1" customHeight="1" x14ac:dyDescent="0.25">
      <c r="B59" s="52"/>
      <c r="AH59">
        <f>SUM(C59:AG59)</f>
        <v>0</v>
      </c>
      <c r="AR59" s="51"/>
      <c r="AS59" s="46"/>
      <c r="AU59" s="46"/>
    </row>
    <row r="60" spans="1:47" ht="14.45" hidden="1" customHeight="1" x14ac:dyDescent="0.25">
      <c r="B60" s="52"/>
      <c r="AH60">
        <f>SUM(C60:AG60)</f>
        <v>0</v>
      </c>
      <c r="AR60" s="51"/>
      <c r="AS60" s="46"/>
      <c r="AU60" s="46"/>
    </row>
    <row r="61" spans="1:47" x14ac:dyDescent="0.25">
      <c r="A61" s="131">
        <v>18</v>
      </c>
      <c r="B61" s="182" t="s">
        <v>99</v>
      </c>
      <c r="C61" s="1" t="s">
        <v>52</v>
      </c>
      <c r="D61" s="1" t="s">
        <v>52</v>
      </c>
      <c r="E61" s="1" t="s">
        <v>41</v>
      </c>
      <c r="F61" s="1" t="s">
        <v>41</v>
      </c>
      <c r="G61" s="1" t="s">
        <v>41</v>
      </c>
      <c r="H61" s="1" t="s">
        <v>41</v>
      </c>
      <c r="I61" s="1" t="s">
        <v>56</v>
      </c>
      <c r="J61" s="1" t="s">
        <v>41</v>
      </c>
      <c r="K61" s="1" t="s">
        <v>41</v>
      </c>
      <c r="L61" s="1" t="s">
        <v>41</v>
      </c>
      <c r="M61" s="1" t="s">
        <v>41</v>
      </c>
      <c r="N61" s="1" t="s">
        <v>41</v>
      </c>
      <c r="O61" s="1" t="s">
        <v>41</v>
      </c>
      <c r="P61" s="1" t="s">
        <v>41</v>
      </c>
      <c r="Q61" s="1" t="s">
        <v>41</v>
      </c>
      <c r="R61" s="1" t="s">
        <v>41</v>
      </c>
      <c r="S61" s="1" t="s">
        <v>41</v>
      </c>
      <c r="T61" s="1" t="s">
        <v>41</v>
      </c>
      <c r="U61" s="1" t="s">
        <v>41</v>
      </c>
      <c r="V61" s="1" t="s">
        <v>41</v>
      </c>
      <c r="W61" s="1" t="s">
        <v>41</v>
      </c>
      <c r="X61" s="1" t="s">
        <v>41</v>
      </c>
      <c r="Y61" s="1" t="s">
        <v>41</v>
      </c>
      <c r="Z61" s="1" t="s">
        <v>41</v>
      </c>
      <c r="AA61" s="1" t="s">
        <v>41</v>
      </c>
      <c r="AB61" s="1" t="s">
        <v>52</v>
      </c>
      <c r="AC61" s="1" t="s">
        <v>41</v>
      </c>
      <c r="AD61" s="1" t="s">
        <v>41</v>
      </c>
      <c r="AE61" s="1" t="s">
        <v>41</v>
      </c>
      <c r="AF61" s="1" t="s">
        <v>52</v>
      </c>
      <c r="AG61" s="1"/>
      <c r="AH61" s="134">
        <f>COUNTIF(C61:AG61,"P")</f>
        <v>25</v>
      </c>
      <c r="AI61" s="134">
        <f>COUNTIF(D61:AH61,"P/2")</f>
        <v>1</v>
      </c>
      <c r="AJ61" s="15"/>
      <c r="AK61" s="171">
        <f>COUNTIF(C63:AG63,"BAAS")</f>
        <v>0</v>
      </c>
      <c r="AL61" s="171">
        <f>COUNTIF(D63:AH63,"RCML")</f>
        <v>0</v>
      </c>
      <c r="AM61" s="171">
        <f>COUNTIF(E63:AJ63,"PRE")</f>
        <v>0</v>
      </c>
      <c r="AN61" s="171">
        <f>COUNTIF(F63:AK63,"BAKR")</f>
        <v>0</v>
      </c>
      <c r="AO61" s="171">
        <v>900</v>
      </c>
      <c r="AP61" s="171">
        <f>AO61*AI61/2</f>
        <v>450</v>
      </c>
      <c r="AQ61" s="171">
        <f>AH61*AO61+AP61</f>
        <v>22950</v>
      </c>
      <c r="AR61" s="168">
        <f>AJ62/8*AO61</f>
        <v>6075</v>
      </c>
      <c r="AS61" s="168">
        <f>AQ61+AR61</f>
        <v>29025</v>
      </c>
      <c r="AU61" s="46"/>
    </row>
    <row r="62" spans="1:47" x14ac:dyDescent="0.25">
      <c r="A62" s="132"/>
      <c r="B62" s="183"/>
      <c r="C62" s="13" t="s">
        <v>103</v>
      </c>
      <c r="D62" s="13" t="s">
        <v>103</v>
      </c>
      <c r="E62" s="9" t="s">
        <v>103</v>
      </c>
      <c r="F62" s="9">
        <v>2</v>
      </c>
      <c r="G62" s="9">
        <v>4</v>
      </c>
      <c r="H62" s="9">
        <v>2</v>
      </c>
      <c r="I62" s="9" t="s">
        <v>103</v>
      </c>
      <c r="J62" s="9">
        <v>4</v>
      </c>
      <c r="K62" s="9">
        <v>5</v>
      </c>
      <c r="L62" s="9">
        <v>4</v>
      </c>
      <c r="M62" s="9">
        <v>3</v>
      </c>
      <c r="N62" s="9" t="s">
        <v>103</v>
      </c>
      <c r="O62" s="9">
        <v>2</v>
      </c>
      <c r="P62" s="9">
        <v>2</v>
      </c>
      <c r="Q62" s="9">
        <v>4</v>
      </c>
      <c r="R62" s="9">
        <v>4</v>
      </c>
      <c r="S62" s="9">
        <v>4</v>
      </c>
      <c r="T62" s="9">
        <v>2</v>
      </c>
      <c r="U62" s="9">
        <v>2</v>
      </c>
      <c r="V62" s="9">
        <v>2</v>
      </c>
      <c r="W62" s="9">
        <v>2</v>
      </c>
      <c r="X62" s="9">
        <v>3</v>
      </c>
      <c r="Y62" s="13" t="s">
        <v>103</v>
      </c>
      <c r="Z62" s="13" t="s">
        <v>103</v>
      </c>
      <c r="AA62" s="13" t="s">
        <v>103</v>
      </c>
      <c r="AB62" s="13" t="s">
        <v>103</v>
      </c>
      <c r="AC62" s="13" t="s">
        <v>103</v>
      </c>
      <c r="AD62" s="9">
        <v>3</v>
      </c>
      <c r="AE62" s="13" t="s">
        <v>103</v>
      </c>
      <c r="AF62" s="13" t="s">
        <v>103</v>
      </c>
      <c r="AG62" s="9"/>
      <c r="AH62" s="135"/>
      <c r="AI62" s="135"/>
      <c r="AJ62" s="15">
        <f>SUM(C62:AG62)</f>
        <v>54</v>
      </c>
      <c r="AK62" s="172"/>
      <c r="AL62" s="172"/>
      <c r="AM62" s="172"/>
      <c r="AN62" s="172"/>
      <c r="AO62" s="172"/>
      <c r="AP62" s="172"/>
      <c r="AQ62" s="172"/>
      <c r="AR62" s="169"/>
      <c r="AS62" s="169"/>
      <c r="AU62" s="46"/>
    </row>
    <row r="63" spans="1:47" x14ac:dyDescent="0.25">
      <c r="A63" s="133"/>
      <c r="B63" s="184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36"/>
      <c r="AI63" s="136"/>
      <c r="AJ63" s="15"/>
      <c r="AK63" s="173"/>
      <c r="AL63" s="173"/>
      <c r="AM63" s="173"/>
      <c r="AN63" s="173"/>
      <c r="AO63" s="173"/>
      <c r="AP63" s="173"/>
      <c r="AQ63" s="173"/>
      <c r="AR63" s="170"/>
      <c r="AS63" s="170"/>
      <c r="AU63" s="46"/>
    </row>
    <row r="64" spans="1:47" x14ac:dyDescent="0.25">
      <c r="A64" s="131">
        <v>19</v>
      </c>
      <c r="B64" s="182" t="s">
        <v>95</v>
      </c>
      <c r="C64" s="1" t="s">
        <v>52</v>
      </c>
      <c r="D64" s="1" t="s">
        <v>52</v>
      </c>
      <c r="E64" s="1" t="s">
        <v>41</v>
      </c>
      <c r="F64" s="1" t="s">
        <v>41</v>
      </c>
      <c r="G64" s="1" t="s">
        <v>41</v>
      </c>
      <c r="H64" s="1" t="s">
        <v>41</v>
      </c>
      <c r="I64" s="1" t="s">
        <v>41</v>
      </c>
      <c r="J64" s="1" t="s">
        <v>41</v>
      </c>
      <c r="K64" s="1" t="s">
        <v>41</v>
      </c>
      <c r="L64" s="1" t="s">
        <v>41</v>
      </c>
      <c r="M64" s="1" t="s">
        <v>41</v>
      </c>
      <c r="N64" s="1" t="s">
        <v>41</v>
      </c>
      <c r="O64" s="1" t="s">
        <v>41</v>
      </c>
      <c r="P64" s="1" t="s">
        <v>41</v>
      </c>
      <c r="Q64" s="1" t="s">
        <v>52</v>
      </c>
      <c r="R64" s="1" t="s">
        <v>41</v>
      </c>
      <c r="S64" s="1" t="s">
        <v>41</v>
      </c>
      <c r="T64" s="1" t="s">
        <v>41</v>
      </c>
      <c r="U64" s="1" t="s">
        <v>41</v>
      </c>
      <c r="V64" s="1" t="s">
        <v>41</v>
      </c>
      <c r="W64" s="1" t="s">
        <v>41</v>
      </c>
      <c r="X64" s="1" t="s">
        <v>41</v>
      </c>
      <c r="Y64" s="1" t="s">
        <v>41</v>
      </c>
      <c r="Z64" s="1" t="s">
        <v>41</v>
      </c>
      <c r="AA64" s="1" t="s">
        <v>41</v>
      </c>
      <c r="AB64" s="1" t="s">
        <v>41</v>
      </c>
      <c r="AC64" s="1" t="s">
        <v>41</v>
      </c>
      <c r="AD64" s="1" t="s">
        <v>41</v>
      </c>
      <c r="AE64" s="1" t="s">
        <v>41</v>
      </c>
      <c r="AF64" s="1" t="s">
        <v>41</v>
      </c>
      <c r="AG64" s="1"/>
      <c r="AH64" s="134">
        <f>COUNTIF(C64:AG64,"P")</f>
        <v>27</v>
      </c>
      <c r="AI64" s="134">
        <f>COUNTIF(D64:AH64,"P/2")</f>
        <v>0</v>
      </c>
      <c r="AJ64" s="15"/>
      <c r="AK64" s="171">
        <f>COUNTIF(C66:AG66,"BAAS")</f>
        <v>0</v>
      </c>
      <c r="AL64" s="171">
        <f>COUNTIF(D66:AH66,"RCML")</f>
        <v>0</v>
      </c>
      <c r="AM64" s="171">
        <f>COUNTIF(E66:AJ66,"PRE")</f>
        <v>0</v>
      </c>
      <c r="AN64" s="171">
        <f>COUNTIF(F66:AK66,"BAKR")</f>
        <v>0</v>
      </c>
      <c r="AO64" s="171">
        <v>700</v>
      </c>
      <c r="AP64" s="171">
        <f>AO64*AI64/2</f>
        <v>0</v>
      </c>
      <c r="AQ64" s="171">
        <f>AH64*AO64+AP64</f>
        <v>18900</v>
      </c>
      <c r="AR64" s="168">
        <f>AJ65/8*AO64</f>
        <v>5250</v>
      </c>
      <c r="AS64" s="168">
        <f>AQ64+AR64</f>
        <v>24150</v>
      </c>
      <c r="AU64" s="46"/>
    </row>
    <row r="65" spans="1:47" x14ac:dyDescent="0.25">
      <c r="A65" s="132"/>
      <c r="B65" s="183"/>
      <c r="C65" s="13" t="s">
        <v>103</v>
      </c>
      <c r="D65" s="13" t="s">
        <v>103</v>
      </c>
      <c r="E65" s="13" t="s">
        <v>103</v>
      </c>
      <c r="F65" s="13" t="s">
        <v>103</v>
      </c>
      <c r="G65" s="13" t="s">
        <v>103</v>
      </c>
      <c r="H65" s="13" t="s">
        <v>103</v>
      </c>
      <c r="I65" s="13" t="s">
        <v>103</v>
      </c>
      <c r="J65" s="9">
        <v>4</v>
      </c>
      <c r="K65" s="9">
        <v>1</v>
      </c>
      <c r="L65" s="9" t="s">
        <v>103</v>
      </c>
      <c r="M65" s="9">
        <v>3</v>
      </c>
      <c r="N65" s="9">
        <v>7</v>
      </c>
      <c r="O65" s="9">
        <v>3</v>
      </c>
      <c r="P65" s="9">
        <v>4</v>
      </c>
      <c r="Q65" s="9" t="s">
        <v>103</v>
      </c>
      <c r="R65" s="9">
        <v>6</v>
      </c>
      <c r="S65" s="9">
        <v>4</v>
      </c>
      <c r="T65" s="9">
        <v>7</v>
      </c>
      <c r="U65" s="9">
        <v>2</v>
      </c>
      <c r="V65" s="9" t="s">
        <v>103</v>
      </c>
      <c r="W65" s="9" t="s">
        <v>103</v>
      </c>
      <c r="X65" s="9" t="s">
        <v>103</v>
      </c>
      <c r="Y65" s="9">
        <v>2</v>
      </c>
      <c r="Z65" s="9" t="s">
        <v>103</v>
      </c>
      <c r="AA65" s="9">
        <v>1</v>
      </c>
      <c r="AB65" s="9">
        <v>3</v>
      </c>
      <c r="AC65" s="9">
        <v>3</v>
      </c>
      <c r="AD65" s="9">
        <v>2</v>
      </c>
      <c r="AE65" s="9">
        <v>4</v>
      </c>
      <c r="AF65" s="9">
        <v>4</v>
      </c>
      <c r="AG65" s="9"/>
      <c r="AH65" s="135"/>
      <c r="AI65" s="135"/>
      <c r="AJ65" s="15">
        <f>SUM(C65:AG65)</f>
        <v>60</v>
      </c>
      <c r="AK65" s="172"/>
      <c r="AL65" s="172"/>
      <c r="AM65" s="172"/>
      <c r="AN65" s="172"/>
      <c r="AO65" s="172"/>
      <c r="AP65" s="172"/>
      <c r="AQ65" s="172"/>
      <c r="AR65" s="169"/>
      <c r="AS65" s="169"/>
      <c r="AU65" s="46"/>
    </row>
    <row r="66" spans="1:47" x14ac:dyDescent="0.25">
      <c r="A66" s="133"/>
      <c r="B66" s="184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36"/>
      <c r="AI66" s="136"/>
      <c r="AJ66" s="15"/>
      <c r="AK66" s="173"/>
      <c r="AL66" s="173"/>
      <c r="AM66" s="173"/>
      <c r="AN66" s="173"/>
      <c r="AO66" s="173"/>
      <c r="AP66" s="173"/>
      <c r="AQ66" s="173"/>
      <c r="AR66" s="170"/>
      <c r="AS66" s="170"/>
      <c r="AU66" s="46"/>
    </row>
    <row r="67" spans="1:47" x14ac:dyDescent="0.25">
      <c r="A67" s="131">
        <v>20</v>
      </c>
      <c r="B67" s="182" t="s">
        <v>98</v>
      </c>
      <c r="C67" s="1" t="s">
        <v>52</v>
      </c>
      <c r="D67" s="1" t="s">
        <v>52</v>
      </c>
      <c r="E67" s="1" t="s">
        <v>41</v>
      </c>
      <c r="F67" s="1" t="s">
        <v>41</v>
      </c>
      <c r="G67" s="1" t="s">
        <v>41</v>
      </c>
      <c r="H67" s="1" t="s">
        <v>41</v>
      </c>
      <c r="I67" s="1" t="s">
        <v>56</v>
      </c>
      <c r="J67" s="1" t="s">
        <v>41</v>
      </c>
      <c r="K67" s="1" t="s">
        <v>41</v>
      </c>
      <c r="L67" s="1" t="s">
        <v>41</v>
      </c>
      <c r="M67" s="1" t="s">
        <v>41</v>
      </c>
      <c r="N67" s="1" t="s">
        <v>52</v>
      </c>
      <c r="O67" s="1" t="s">
        <v>52</v>
      </c>
      <c r="P67" s="1" t="s">
        <v>52</v>
      </c>
      <c r="Q67" s="1" t="s">
        <v>52</v>
      </c>
      <c r="R67" s="1" t="s">
        <v>52</v>
      </c>
      <c r="S67" s="1" t="s">
        <v>52</v>
      </c>
      <c r="T67" s="1" t="s">
        <v>52</v>
      </c>
      <c r="U67" s="1" t="s">
        <v>52</v>
      </c>
      <c r="V67" s="1" t="s">
        <v>52</v>
      </c>
      <c r="W67" s="1" t="s">
        <v>52</v>
      </c>
      <c r="X67" s="1" t="s">
        <v>52</v>
      </c>
      <c r="Y67" s="1" t="s">
        <v>52</v>
      </c>
      <c r="Z67" s="1" t="s">
        <v>52</v>
      </c>
      <c r="AA67" s="1" t="s">
        <v>52</v>
      </c>
      <c r="AB67" s="1" t="s">
        <v>52</v>
      </c>
      <c r="AC67" s="1" t="s">
        <v>52</v>
      </c>
      <c r="AD67" s="1" t="s">
        <v>52</v>
      </c>
      <c r="AE67" s="1" t="s">
        <v>52</v>
      </c>
      <c r="AF67" s="1" t="s">
        <v>52</v>
      </c>
      <c r="AG67" s="1"/>
      <c r="AH67" s="134">
        <f>COUNTIF(C67:AG67,"P")</f>
        <v>8</v>
      </c>
      <c r="AI67" s="134">
        <f>COUNTIF(D67:AH67,"P/2")</f>
        <v>1</v>
      </c>
      <c r="AJ67" s="15"/>
      <c r="AK67" s="171">
        <f>COUNTIF(C69:AG69,"BAAS")</f>
        <v>0</v>
      </c>
      <c r="AL67" s="171">
        <f>COUNTIF(D69:AH69,"RCML")</f>
        <v>0</v>
      </c>
      <c r="AM67" s="171">
        <f>COUNTIF(E69:AJ69,"PRE")</f>
        <v>0</v>
      </c>
      <c r="AN67" s="171">
        <f>COUNTIF(F69:AK69,"BAKR")</f>
        <v>0</v>
      </c>
      <c r="AO67" s="171">
        <v>800</v>
      </c>
      <c r="AP67" s="171">
        <f>AO67*AI67/2</f>
        <v>400</v>
      </c>
      <c r="AQ67" s="171">
        <f>AH67*AO67+AP67</f>
        <v>6800</v>
      </c>
      <c r="AR67" s="168">
        <f>AJ68/8*AO67</f>
        <v>2500</v>
      </c>
      <c r="AS67" s="168">
        <f>AQ67+AR67</f>
        <v>9300</v>
      </c>
      <c r="AU67" s="46"/>
    </row>
    <row r="68" spans="1:47" x14ac:dyDescent="0.25">
      <c r="A68" s="132"/>
      <c r="B68" s="183"/>
      <c r="C68" s="13" t="s">
        <v>103</v>
      </c>
      <c r="D68" s="13" t="s">
        <v>103</v>
      </c>
      <c r="E68" s="9">
        <v>2</v>
      </c>
      <c r="F68" s="9">
        <v>5</v>
      </c>
      <c r="G68" s="9">
        <v>4</v>
      </c>
      <c r="H68" s="9" t="s">
        <v>103</v>
      </c>
      <c r="I68" s="9" t="s">
        <v>103</v>
      </c>
      <c r="J68" s="9">
        <v>5</v>
      </c>
      <c r="K68" s="9">
        <v>5</v>
      </c>
      <c r="L68" s="9">
        <v>4</v>
      </c>
      <c r="M68" s="9" t="s">
        <v>103</v>
      </c>
      <c r="N68" s="13" t="s">
        <v>103</v>
      </c>
      <c r="O68" s="13" t="s">
        <v>103</v>
      </c>
      <c r="P68" s="13" t="s">
        <v>103</v>
      </c>
      <c r="Q68" s="13" t="s">
        <v>103</v>
      </c>
      <c r="R68" s="13" t="s">
        <v>103</v>
      </c>
      <c r="S68" s="13" t="s">
        <v>103</v>
      </c>
      <c r="T68" s="13" t="s">
        <v>103</v>
      </c>
      <c r="U68" s="13" t="s">
        <v>103</v>
      </c>
      <c r="V68" s="13" t="s">
        <v>103</v>
      </c>
      <c r="W68" s="13" t="s">
        <v>103</v>
      </c>
      <c r="X68" s="13" t="s">
        <v>103</v>
      </c>
      <c r="Y68" s="13" t="s">
        <v>103</v>
      </c>
      <c r="Z68" s="13" t="s">
        <v>103</v>
      </c>
      <c r="AA68" s="13" t="s">
        <v>103</v>
      </c>
      <c r="AB68" s="13" t="s">
        <v>103</v>
      </c>
      <c r="AC68" s="13" t="s">
        <v>103</v>
      </c>
      <c r="AD68" s="13" t="s">
        <v>103</v>
      </c>
      <c r="AE68" s="13" t="s">
        <v>103</v>
      </c>
      <c r="AF68" s="13" t="s">
        <v>103</v>
      </c>
      <c r="AG68" s="9"/>
      <c r="AH68" s="135"/>
      <c r="AI68" s="135"/>
      <c r="AJ68" s="15">
        <f>SUM(C68:AG68)</f>
        <v>25</v>
      </c>
      <c r="AK68" s="172"/>
      <c r="AL68" s="172"/>
      <c r="AM68" s="172"/>
      <c r="AN68" s="172"/>
      <c r="AO68" s="172"/>
      <c r="AP68" s="172"/>
      <c r="AQ68" s="172"/>
      <c r="AR68" s="169"/>
      <c r="AS68" s="169"/>
      <c r="AU68" s="46"/>
    </row>
    <row r="69" spans="1:47" x14ac:dyDescent="0.25">
      <c r="A69" s="133"/>
      <c r="B69" s="184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36"/>
      <c r="AI69" s="136"/>
      <c r="AJ69" s="15"/>
      <c r="AK69" s="173"/>
      <c r="AL69" s="173"/>
      <c r="AM69" s="173"/>
      <c r="AN69" s="173"/>
      <c r="AO69" s="173"/>
      <c r="AP69" s="173"/>
      <c r="AQ69" s="173"/>
      <c r="AR69" s="170"/>
      <c r="AS69" s="170"/>
      <c r="AU69" s="46"/>
    </row>
    <row r="70" spans="1:47" x14ac:dyDescent="0.25">
      <c r="AH70">
        <f t="shared" ref="AH70:AS70" si="1">SUM(AH5:AH69)</f>
        <v>438</v>
      </c>
      <c r="AI70">
        <f t="shared" si="1"/>
        <v>14</v>
      </c>
      <c r="AJ70" s="17">
        <f t="shared" si="1"/>
        <v>1113</v>
      </c>
      <c r="AK70">
        <f t="shared" si="1"/>
        <v>0</v>
      </c>
      <c r="AL70">
        <f t="shared" si="1"/>
        <v>0</v>
      </c>
      <c r="AM70">
        <f t="shared" si="1"/>
        <v>0</v>
      </c>
      <c r="AN70">
        <f t="shared" si="1"/>
        <v>0</v>
      </c>
      <c r="AO70">
        <f t="shared" si="1"/>
        <v>14700</v>
      </c>
      <c r="AP70">
        <f t="shared" si="1"/>
        <v>5250</v>
      </c>
      <c r="AQ70" s="50">
        <f t="shared" si="1"/>
        <v>327450</v>
      </c>
      <c r="AR70" s="51">
        <f t="shared" si="1"/>
        <v>102375</v>
      </c>
      <c r="AS70" s="46">
        <f t="shared" si="1"/>
        <v>429825</v>
      </c>
      <c r="AU70" s="46"/>
    </row>
    <row r="71" spans="1:47" x14ac:dyDescent="0.25">
      <c r="B71" s="33" t="s">
        <v>58</v>
      </c>
      <c r="C71" s="26"/>
      <c r="D71" s="26"/>
    </row>
    <row r="72" spans="1:47" x14ac:dyDescent="0.25">
      <c r="B72" s="33" t="s">
        <v>82</v>
      </c>
      <c r="C72" s="26"/>
      <c r="D72" s="26"/>
    </row>
    <row r="73" spans="1:47" x14ac:dyDescent="0.25">
      <c r="B73" s="33"/>
      <c r="C73" s="26"/>
      <c r="D73" s="26"/>
      <c r="AJ73"/>
      <c r="AS73" s="46"/>
    </row>
    <row r="74" spans="1:47" x14ac:dyDescent="0.25">
      <c r="B74" s="33" t="s">
        <v>84</v>
      </c>
      <c r="C74" s="26"/>
      <c r="D74" s="26"/>
      <c r="AJ74"/>
    </row>
  </sheetData>
  <mergeCells count="275">
    <mergeCell ref="AP67:AP69"/>
    <mergeCell ref="AQ67:AQ69"/>
    <mergeCell ref="AR67:AR69"/>
    <mergeCell ref="AS67:AS69"/>
    <mergeCell ref="AS64:AS66"/>
    <mergeCell ref="A67:A69"/>
    <mergeCell ref="B67:B69"/>
    <mergeCell ref="AH67:AH69"/>
    <mergeCell ref="AI67:AI69"/>
    <mergeCell ref="AK67:AK69"/>
    <mergeCell ref="AL67:AL69"/>
    <mergeCell ref="AM67:AM69"/>
    <mergeCell ref="AN67:AN69"/>
    <mergeCell ref="AO67:AO69"/>
    <mergeCell ref="AM64:AM66"/>
    <mergeCell ref="AN64:AN66"/>
    <mergeCell ref="AO64:AO66"/>
    <mergeCell ref="AP64:AP66"/>
    <mergeCell ref="AQ64:AQ66"/>
    <mergeCell ref="AR64:AR66"/>
    <mergeCell ref="AP61:AP63"/>
    <mergeCell ref="AQ61:AQ63"/>
    <mergeCell ref="AR61:AR63"/>
    <mergeCell ref="AS61:AS63"/>
    <mergeCell ref="A64:A66"/>
    <mergeCell ref="B64:B66"/>
    <mergeCell ref="AH64:AH66"/>
    <mergeCell ref="AI64:AI66"/>
    <mergeCell ref="AK64:AK66"/>
    <mergeCell ref="AL64:AL66"/>
    <mergeCell ref="A61:A63"/>
    <mergeCell ref="B61:B63"/>
    <mergeCell ref="AH61:AH63"/>
    <mergeCell ref="AI61:AI63"/>
    <mergeCell ref="AK61:AK63"/>
    <mergeCell ref="AL61:AL63"/>
    <mergeCell ref="AM61:AM63"/>
    <mergeCell ref="AN61:AN63"/>
    <mergeCell ref="AO61:AO63"/>
    <mergeCell ref="AN53:AN55"/>
    <mergeCell ref="AO53:AO55"/>
    <mergeCell ref="AP53:AP55"/>
    <mergeCell ref="AQ53:AQ55"/>
    <mergeCell ref="AR53:AR55"/>
    <mergeCell ref="AP50:AP52"/>
    <mergeCell ref="AQ50:AQ52"/>
    <mergeCell ref="AR50:AR52"/>
    <mergeCell ref="AS50:AS52"/>
    <mergeCell ref="A53:A55"/>
    <mergeCell ref="B53:B55"/>
    <mergeCell ref="AH53:AH55"/>
    <mergeCell ref="AI53:AI55"/>
    <mergeCell ref="AK53:AK55"/>
    <mergeCell ref="AL53:AL55"/>
    <mergeCell ref="AS47:AS49"/>
    <mergeCell ref="A50:A52"/>
    <mergeCell ref="B50:B52"/>
    <mergeCell ref="AH50:AH52"/>
    <mergeCell ref="AI50:AI52"/>
    <mergeCell ref="AK50:AK52"/>
    <mergeCell ref="AL50:AL52"/>
    <mergeCell ref="AM50:AM52"/>
    <mergeCell ref="AN50:AN52"/>
    <mergeCell ref="AO50:AO52"/>
    <mergeCell ref="AM47:AM49"/>
    <mergeCell ref="AN47:AN49"/>
    <mergeCell ref="AO47:AO49"/>
    <mergeCell ref="AP47:AP49"/>
    <mergeCell ref="AQ47:AQ49"/>
    <mergeCell ref="AR47:AR49"/>
    <mergeCell ref="AS53:AS55"/>
    <mergeCell ref="AM53:AM55"/>
    <mergeCell ref="AP44:AP46"/>
    <mergeCell ref="AQ44:AQ46"/>
    <mergeCell ref="AR44:AR46"/>
    <mergeCell ref="AS44:AS46"/>
    <mergeCell ref="A47:A49"/>
    <mergeCell ref="B47:B49"/>
    <mergeCell ref="AH47:AH49"/>
    <mergeCell ref="AI47:AI49"/>
    <mergeCell ref="AK47:AK49"/>
    <mergeCell ref="AL47:AL49"/>
    <mergeCell ref="A44:A46"/>
    <mergeCell ref="B44:B46"/>
    <mergeCell ref="AH44:AH46"/>
    <mergeCell ref="AI44:AI46"/>
    <mergeCell ref="AK44:AK46"/>
    <mergeCell ref="AL44:AL46"/>
    <mergeCell ref="AM44:AM46"/>
    <mergeCell ref="AN44:AN46"/>
    <mergeCell ref="AO44:AO46"/>
    <mergeCell ref="AR38:AR40"/>
    <mergeCell ref="AS38:AS40"/>
    <mergeCell ref="A41:A43"/>
    <mergeCell ref="B41:B43"/>
    <mergeCell ref="AH41:AH43"/>
    <mergeCell ref="AI41:AI43"/>
    <mergeCell ref="AK41:AK43"/>
    <mergeCell ref="AL41:AL43"/>
    <mergeCell ref="AS41:AS43"/>
    <mergeCell ref="AM41:AM43"/>
    <mergeCell ref="AN41:AN43"/>
    <mergeCell ref="AO41:AO43"/>
    <mergeCell ref="AP41:AP43"/>
    <mergeCell ref="AQ41:AQ43"/>
    <mergeCell ref="AR41:AR43"/>
    <mergeCell ref="AS35:AS37"/>
    <mergeCell ref="A38:A40"/>
    <mergeCell ref="B38:B40"/>
    <mergeCell ref="AH38:AH40"/>
    <mergeCell ref="AI38:AI40"/>
    <mergeCell ref="AK38:AK40"/>
    <mergeCell ref="AL38:AL40"/>
    <mergeCell ref="AM38:AM40"/>
    <mergeCell ref="AN38:AN40"/>
    <mergeCell ref="AO38:AO40"/>
    <mergeCell ref="AM35:AM37"/>
    <mergeCell ref="AN35:AN37"/>
    <mergeCell ref="AO35:AO37"/>
    <mergeCell ref="AP35:AP37"/>
    <mergeCell ref="AQ35:AQ37"/>
    <mergeCell ref="AR35:AR37"/>
    <mergeCell ref="A35:A37"/>
    <mergeCell ref="B35:B37"/>
    <mergeCell ref="AH35:AH37"/>
    <mergeCell ref="AI35:AI37"/>
    <mergeCell ref="AK35:AK37"/>
    <mergeCell ref="AL35:AL37"/>
    <mergeCell ref="AP38:AP40"/>
    <mergeCell ref="AQ38:AQ40"/>
    <mergeCell ref="AN32:AN34"/>
    <mergeCell ref="AO32:AO34"/>
    <mergeCell ref="AP32:AP34"/>
    <mergeCell ref="AQ32:AQ34"/>
    <mergeCell ref="AR32:AR34"/>
    <mergeCell ref="AP29:AP31"/>
    <mergeCell ref="AQ29:AQ31"/>
    <mergeCell ref="AR29:AR31"/>
    <mergeCell ref="AS29:AS31"/>
    <mergeCell ref="A32:A34"/>
    <mergeCell ref="B32:B34"/>
    <mergeCell ref="AH32:AH34"/>
    <mergeCell ref="AI32:AI34"/>
    <mergeCell ref="AK32:AK34"/>
    <mergeCell ref="AL32:AL34"/>
    <mergeCell ref="AS26:AS28"/>
    <mergeCell ref="A29:A31"/>
    <mergeCell ref="B29:B31"/>
    <mergeCell ref="AH29:AH31"/>
    <mergeCell ref="AI29:AI31"/>
    <mergeCell ref="AK29:AK31"/>
    <mergeCell ref="AL29:AL31"/>
    <mergeCell ref="AM29:AM31"/>
    <mergeCell ref="AN29:AN31"/>
    <mergeCell ref="AO29:AO31"/>
    <mergeCell ref="AM26:AM28"/>
    <mergeCell ref="AN26:AN28"/>
    <mergeCell ref="AO26:AO28"/>
    <mergeCell ref="AP26:AP28"/>
    <mergeCell ref="AQ26:AQ28"/>
    <mergeCell ref="AR26:AR28"/>
    <mergeCell ref="AS32:AS34"/>
    <mergeCell ref="AM32:AM34"/>
    <mergeCell ref="AP23:AP25"/>
    <mergeCell ref="AQ23:AQ25"/>
    <mergeCell ref="AR23:AR25"/>
    <mergeCell ref="AS23:AS25"/>
    <mergeCell ref="A26:A28"/>
    <mergeCell ref="B26:B28"/>
    <mergeCell ref="AH26:AH28"/>
    <mergeCell ref="AI26:AI28"/>
    <mergeCell ref="AK26:AK28"/>
    <mergeCell ref="AL26:AL28"/>
    <mergeCell ref="A23:A25"/>
    <mergeCell ref="B23:B25"/>
    <mergeCell ref="AH23:AH25"/>
    <mergeCell ref="AI23:AI25"/>
    <mergeCell ref="AK23:AK25"/>
    <mergeCell ref="AL23:AL25"/>
    <mergeCell ref="AM23:AM25"/>
    <mergeCell ref="AN23:AN25"/>
    <mergeCell ref="AO23:AO25"/>
    <mergeCell ref="AR17:AR19"/>
    <mergeCell ref="AS17:AS19"/>
    <mergeCell ref="A20:A22"/>
    <mergeCell ref="B20:B22"/>
    <mergeCell ref="AH20:AH22"/>
    <mergeCell ref="AI20:AI22"/>
    <mergeCell ref="AK20:AK22"/>
    <mergeCell ref="AL20:AL22"/>
    <mergeCell ref="AS20:AS22"/>
    <mergeCell ref="AM20:AM22"/>
    <mergeCell ref="AN20:AN22"/>
    <mergeCell ref="AO20:AO22"/>
    <mergeCell ref="AP20:AP22"/>
    <mergeCell ref="AQ20:AQ22"/>
    <mergeCell ref="AR20:AR22"/>
    <mergeCell ref="AS14:AS16"/>
    <mergeCell ref="A17:A19"/>
    <mergeCell ref="B17:B19"/>
    <mergeCell ref="AH17:AH19"/>
    <mergeCell ref="AI17:AI19"/>
    <mergeCell ref="AK17:AK19"/>
    <mergeCell ref="AL17:AL19"/>
    <mergeCell ref="AM17:AM19"/>
    <mergeCell ref="AN17:AN19"/>
    <mergeCell ref="AO17:AO19"/>
    <mergeCell ref="AM14:AM16"/>
    <mergeCell ref="AN14:AN16"/>
    <mergeCell ref="AO14:AO16"/>
    <mergeCell ref="AP14:AP16"/>
    <mergeCell ref="AQ14:AQ16"/>
    <mergeCell ref="AR14:AR16"/>
    <mergeCell ref="A14:A16"/>
    <mergeCell ref="B14:B16"/>
    <mergeCell ref="AH14:AH16"/>
    <mergeCell ref="AI14:AI16"/>
    <mergeCell ref="AK14:AK16"/>
    <mergeCell ref="AL14:AL16"/>
    <mergeCell ref="AP17:AP19"/>
    <mergeCell ref="AQ17:AQ19"/>
    <mergeCell ref="AP11:AP13"/>
    <mergeCell ref="AQ11:AQ13"/>
    <mergeCell ref="AR11:AR13"/>
    <mergeCell ref="AS11:AS13"/>
    <mergeCell ref="AS8:AS10"/>
    <mergeCell ref="A11:A13"/>
    <mergeCell ref="B11:B13"/>
    <mergeCell ref="AH11:AH13"/>
    <mergeCell ref="AI11:AI13"/>
    <mergeCell ref="AK11:AK13"/>
    <mergeCell ref="AL11:AL13"/>
    <mergeCell ref="AM11:AM13"/>
    <mergeCell ref="AN11:AN13"/>
    <mergeCell ref="AO11:AO13"/>
    <mergeCell ref="AM8:AM10"/>
    <mergeCell ref="AN8:AN10"/>
    <mergeCell ref="AO8:AO10"/>
    <mergeCell ref="AP8:AP10"/>
    <mergeCell ref="AQ8:AQ10"/>
    <mergeCell ref="AR8:AR10"/>
    <mergeCell ref="A8:A10"/>
    <mergeCell ref="B8:B10"/>
    <mergeCell ref="AH8:AH10"/>
    <mergeCell ref="AI8:AI10"/>
    <mergeCell ref="AK8:AK10"/>
    <mergeCell ref="AL8:AL10"/>
    <mergeCell ref="AR5:AR7"/>
    <mergeCell ref="AS5:AS7"/>
    <mergeCell ref="AL5:AL7"/>
    <mergeCell ref="AM5:AM7"/>
    <mergeCell ref="AN5:AN7"/>
    <mergeCell ref="AO5:AO7"/>
    <mergeCell ref="AP5:AP7"/>
    <mergeCell ref="AQ5:AQ7"/>
    <mergeCell ref="A5:A7"/>
    <mergeCell ref="B5:B7"/>
    <mergeCell ref="AH5:AH7"/>
    <mergeCell ref="AI5:AI7"/>
    <mergeCell ref="AJ5:AJ7"/>
    <mergeCell ref="AK5:AK7"/>
    <mergeCell ref="AK3:AK4"/>
    <mergeCell ref="AL3:AL4"/>
    <mergeCell ref="AM3:AM4"/>
    <mergeCell ref="AN3:AN4"/>
    <mergeCell ref="AO3:AO4"/>
    <mergeCell ref="AP3:AP4"/>
    <mergeCell ref="A1:AJ1"/>
    <mergeCell ref="A2:AJ2"/>
    <mergeCell ref="A3:A4"/>
    <mergeCell ref="B3:B4"/>
    <mergeCell ref="C3:AG3"/>
    <mergeCell ref="AH3:AH4"/>
    <mergeCell ref="AI3:AI4"/>
    <mergeCell ref="AJ3:AJ4"/>
  </mergeCells>
  <conditionalFormatting sqref="G5">
    <cfRule type="containsText" dxfId="1065" priority="442" operator="containsText" text="P">
      <formula>NOT(ISERROR(SEARCH("P",G5)))</formula>
    </cfRule>
    <cfRule type="containsText" dxfId="1064" priority="449" operator="containsText" text="A">
      <formula>NOT(ISERROR(SEARCH("A",G5)))</formula>
    </cfRule>
    <cfRule type="containsText" dxfId="1063" priority="450" operator="containsText" text="P">
      <formula>NOT(ISERROR(SEARCH("P",G5)))</formula>
    </cfRule>
  </conditionalFormatting>
  <conditionalFormatting sqref="C5:AG34">
    <cfRule type="containsText" dxfId="1062" priority="448" operator="containsText" text="AB">
      <formula>NOT(ISERROR(SEARCH("AB",C5)))</formula>
    </cfRule>
  </conditionalFormatting>
  <conditionalFormatting sqref="C40:AG40 E38:M39 O38:P39 R38:U39 AG38:AG39">
    <cfRule type="containsText" dxfId="1061" priority="445" operator="containsText" text="AB">
      <formula>NOT(ISERROR(SEARCH("AB",C38)))</formula>
    </cfRule>
  </conditionalFormatting>
  <conditionalFormatting sqref="C37:AG37 E35:I36 K35:M36 P35:Z36 AD35:AE36 AG35:AG36">
    <cfRule type="containsText" dxfId="1060" priority="446" operator="containsText" text="AB">
      <formula>NOT(ISERROR(SEARCH("AB",C35)))</formula>
    </cfRule>
  </conditionalFormatting>
  <conditionalFormatting sqref="A56:AT60 A1:XFD3 A4 C4:AJ4 AQ4:XFD4 A71:XFD1048576 A70:AT70 AV70:XFD70 AV56:XFD60 AT5:XFD30 AT31:AT40 AV31:XFD40 A6:A40 AU31:AU70 A5:AO5 C6:AI7 C8:AJ34 C40:AJ40 E38:M39 C37:AJ37 E35:I36 K35:M36 P35:Z36 O38:P39 AD35:AE36 AG35:AJ36 R38:U39 AG38:AJ39 AT54:AT55 AV61">
    <cfRule type="containsText" dxfId="1059" priority="443" operator="containsText" text="AB">
      <formula>NOT(ISERROR(SEARCH("AB",A1)))</formula>
    </cfRule>
    <cfRule type="containsText" dxfId="1058" priority="444" operator="containsText" text="AB">
      <formula>NOT(ISERROR(SEARCH("AB",A1)))</formula>
    </cfRule>
  </conditionalFormatting>
  <conditionalFormatting sqref="C43:AA43 AC41:AD42 D41:AA42 AC43:AE43 AG41:AG43">
    <cfRule type="containsText" dxfId="1057" priority="441" operator="containsText" text="AB">
      <formula>NOT(ISERROR(SEARCH("AB",C41)))</formula>
    </cfRule>
  </conditionalFormatting>
  <conditionalFormatting sqref="A41:A43 C43:AA43 AT41:AT43 AV41:XFD43 AC41:AD42 D41:AA42 AC43:AE43 AG41:AJ43">
    <cfRule type="containsText" dxfId="1056" priority="439" operator="containsText" text="AB">
      <formula>NOT(ISERROR(SEARCH("AB",A41)))</formula>
    </cfRule>
    <cfRule type="containsText" dxfId="1055" priority="440" operator="containsText" text="AB">
      <formula>NOT(ISERROR(SEARCH("AB",A41)))</formula>
    </cfRule>
  </conditionalFormatting>
  <conditionalFormatting sqref="AG45:AG46">
    <cfRule type="containsText" dxfId="1054" priority="438" operator="containsText" text="AB">
      <formula>NOT(ISERROR(SEARCH("AB",AG45)))</formula>
    </cfRule>
  </conditionalFormatting>
  <conditionalFormatting sqref="A44:A46 AG45:AJ46 AH44:AJ44 AT44:AT46 AV44:XFD46">
    <cfRule type="containsText" dxfId="1053" priority="436" operator="containsText" text="AB">
      <formula>NOT(ISERROR(SEARCH("AB",A44)))</formula>
    </cfRule>
    <cfRule type="containsText" dxfId="1052" priority="437" operator="containsText" text="AB">
      <formula>NOT(ISERROR(SEARCH("AB",A44)))</formula>
    </cfRule>
  </conditionalFormatting>
  <conditionalFormatting sqref="A47:A49 AH47:AJ49 AT47:AT49 AV47:XFD49">
    <cfRule type="containsText" dxfId="1051" priority="434" operator="containsText" text="AB">
      <formula>NOT(ISERROR(SEARCH("AB",A47)))</formula>
    </cfRule>
    <cfRule type="containsText" dxfId="1050" priority="435" operator="containsText" text="AB">
      <formula>NOT(ISERROR(SEARCH("AB",A47)))</formula>
    </cfRule>
  </conditionalFormatting>
  <conditionalFormatting sqref="C52:AG52 K51:M51 AG50:AG51 E50:H51 P50:U51 W50:AA51 AC50:AD51">
    <cfRule type="containsText" dxfId="1049" priority="433" operator="containsText" text="AB">
      <formula>NOT(ISERROR(SEARCH("AB",C50)))</formula>
    </cfRule>
  </conditionalFormatting>
  <conditionalFormatting sqref="A50:A52 C52:AJ52 AT50:AT52 AV50:XFD52 K51:M51 AG50:AJ51 E50:H51 P50:U51 W50:AA51 AC50:AD51">
    <cfRule type="containsText" dxfId="1048" priority="431" operator="containsText" text="AB">
      <formula>NOT(ISERROR(SEARCH("AB",A50)))</formula>
    </cfRule>
    <cfRule type="containsText" dxfId="1047" priority="432" operator="containsText" text="AB">
      <formula>NOT(ISERROR(SEARCH("AB",A50)))</formula>
    </cfRule>
  </conditionalFormatting>
  <conditionalFormatting sqref="C55:AG55 AG53:AG54 E53:AA54 AC53:AE54">
    <cfRule type="containsText" dxfId="1046" priority="430" operator="containsText" text="AB">
      <formula>NOT(ISERROR(SEARCH("AB",C53)))</formula>
    </cfRule>
  </conditionalFormatting>
  <conditionalFormatting sqref="A53:A55 C55:AJ55 AV53:XFD55 AG53:AJ54 E53:AA54 AC53:AE54">
    <cfRule type="containsText" dxfId="1045" priority="428" operator="containsText" text="AB">
      <formula>NOT(ISERROR(SEARCH("AB",A53)))</formula>
    </cfRule>
    <cfRule type="containsText" dxfId="1044" priority="429" operator="containsText" text="AB">
      <formula>NOT(ISERROR(SEARCH("AB",A53)))</formula>
    </cfRule>
  </conditionalFormatting>
  <conditionalFormatting sqref="C63:AG63 G62:X62 AG61:AG62 I61:AA61 AC61:AE61 AD62">
    <cfRule type="containsText" dxfId="1043" priority="421" operator="containsText" text="AB">
      <formula>NOT(ISERROR(SEARCH("AB",C61)))</formula>
    </cfRule>
  </conditionalFormatting>
  <conditionalFormatting sqref="A61:A63 C63:AJ63 AT61:AT63 AV61:XFD63 G62:X62 AG61:AJ62 I61:AA61 AC61:AE61 AD62">
    <cfRule type="containsText" dxfId="1042" priority="419" operator="containsText" text="AB">
      <formula>NOT(ISERROR(SEARCH("AB",A61)))</formula>
    </cfRule>
    <cfRule type="containsText" dxfId="1041" priority="420" operator="containsText" text="AB">
      <formula>NOT(ISERROR(SEARCH("AB",A61)))</formula>
    </cfRule>
  </conditionalFormatting>
  <conditionalFormatting sqref="C66:AG66 AG64:AG65">
    <cfRule type="containsText" dxfId="1040" priority="418" operator="containsText" text="AB">
      <formula>NOT(ISERROR(SEARCH("AB",C64)))</formula>
    </cfRule>
  </conditionalFormatting>
  <conditionalFormatting sqref="A64:A66 C66:AJ66 AT64:AT66 AV64:XFD66 AG64:AJ65">
    <cfRule type="containsText" dxfId="1039" priority="416" operator="containsText" text="AB">
      <formula>NOT(ISERROR(SEARCH("AB",A64)))</formula>
    </cfRule>
    <cfRule type="containsText" dxfId="1038" priority="417" operator="containsText" text="AB">
      <formula>NOT(ISERROR(SEARCH("AB",A64)))</formula>
    </cfRule>
  </conditionalFormatting>
  <conditionalFormatting sqref="C46:AF46 AG44 E44:H45 J44:AA45 AC44:AE45">
    <cfRule type="containsText" dxfId="1037" priority="415" operator="containsText" text="AB">
      <formula>NOT(ISERROR(SEARCH("AB",C44)))</formula>
    </cfRule>
  </conditionalFormatting>
  <conditionalFormatting sqref="C46:AF46 AG44 E44:H45 J44:AA45 AC44:AE45">
    <cfRule type="containsText" dxfId="1036" priority="413" operator="containsText" text="AB">
      <formula>NOT(ISERROR(SEARCH("AB",C44)))</formula>
    </cfRule>
    <cfRule type="containsText" dxfId="1035" priority="414" operator="containsText" text="AB">
      <formula>NOT(ISERROR(SEARCH("AB",C44)))</formula>
    </cfRule>
  </conditionalFormatting>
  <conditionalFormatting sqref="AG47:AG49">
    <cfRule type="containsText" dxfId="1034" priority="412" operator="containsText" text="AB">
      <formula>NOT(ISERROR(SEARCH("AB",AG47)))</formula>
    </cfRule>
  </conditionalFormatting>
  <conditionalFormatting sqref="AG47:AG49">
    <cfRule type="containsText" dxfId="1033" priority="410" operator="containsText" text="AB">
      <formula>NOT(ISERROR(SEARCH("AB",AG47)))</formula>
    </cfRule>
    <cfRule type="containsText" dxfId="1032" priority="411" operator="containsText" text="AB">
      <formula>NOT(ISERROR(SEARCH("AB",AG47)))</formula>
    </cfRule>
  </conditionalFormatting>
  <conditionalFormatting sqref="C49:AF49 E47:H48 J47:AA48 AC47:AD48">
    <cfRule type="containsText" dxfId="1031" priority="409" operator="containsText" text="AB">
      <formula>NOT(ISERROR(SEARCH("AB",C47)))</formula>
    </cfRule>
  </conditionalFormatting>
  <conditionalFormatting sqref="C49:AF49 E47:H48 J47:AA48 AC47:AD48">
    <cfRule type="containsText" dxfId="1030" priority="407" operator="containsText" text="AB">
      <formula>NOT(ISERROR(SEARCH("AB",C47)))</formula>
    </cfRule>
    <cfRule type="containsText" dxfId="1029" priority="408" operator="containsText" text="AB">
      <formula>NOT(ISERROR(SEARCH("AB",C47)))</formula>
    </cfRule>
  </conditionalFormatting>
  <conditionalFormatting sqref="B8">
    <cfRule type="containsText" dxfId="1028" priority="398" operator="containsText" text="AB">
      <formula>NOT(ISERROR(SEARCH("AB",B8)))</formula>
    </cfRule>
    <cfRule type="containsText" dxfId="1027" priority="399" operator="containsText" text="AB">
      <formula>NOT(ISERROR(SEARCH("AB",B8)))</formula>
    </cfRule>
  </conditionalFormatting>
  <conditionalFormatting sqref="B61">
    <cfRule type="containsText" dxfId="1026" priority="396" operator="containsText" text="AB">
      <formula>NOT(ISERROR(SEARCH("AB",B61)))</formula>
    </cfRule>
    <cfRule type="containsText" dxfId="1025" priority="397" operator="containsText" text="AB">
      <formula>NOT(ISERROR(SEARCH("AB",B61)))</formula>
    </cfRule>
  </conditionalFormatting>
  <conditionalFormatting sqref="B32">
    <cfRule type="containsText" dxfId="1024" priority="394" operator="containsText" text="AB">
      <formula>NOT(ISERROR(SEARCH("AB",B32)))</formula>
    </cfRule>
    <cfRule type="containsText" dxfId="1023" priority="395" operator="containsText" text="AB">
      <formula>NOT(ISERROR(SEARCH("AB",B32)))</formula>
    </cfRule>
  </conditionalFormatting>
  <conditionalFormatting sqref="B20">
    <cfRule type="containsText" dxfId="1022" priority="392" operator="containsText" text="AB">
      <formula>NOT(ISERROR(SEARCH("AB",B20)))</formula>
    </cfRule>
    <cfRule type="containsText" dxfId="1021" priority="393" operator="containsText" text="AB">
      <formula>NOT(ISERROR(SEARCH("AB",B20)))</formula>
    </cfRule>
  </conditionalFormatting>
  <conditionalFormatting sqref="B29">
    <cfRule type="containsText" dxfId="1020" priority="388" operator="containsText" text="AB">
      <formula>NOT(ISERROR(SEARCH("AB",B29)))</formula>
    </cfRule>
    <cfRule type="containsText" dxfId="1019" priority="389" operator="containsText" text="AB">
      <formula>NOT(ISERROR(SEARCH("AB",B29)))</formula>
    </cfRule>
  </conditionalFormatting>
  <conditionalFormatting sqref="B11">
    <cfRule type="containsText" dxfId="1018" priority="386" operator="containsText" text="AB">
      <formula>NOT(ISERROR(SEARCH("AB",B11)))</formula>
    </cfRule>
    <cfRule type="containsText" dxfId="1017" priority="387" operator="containsText" text="AB">
      <formula>NOT(ISERROR(SEARCH("AB",B11)))</formula>
    </cfRule>
  </conditionalFormatting>
  <conditionalFormatting sqref="B47">
    <cfRule type="containsText" dxfId="1016" priority="384" operator="containsText" text="AB">
      <formula>NOT(ISERROR(SEARCH("AB",B47)))</formula>
    </cfRule>
    <cfRule type="containsText" dxfId="1015" priority="385" operator="containsText" text="AB">
      <formula>NOT(ISERROR(SEARCH("AB",B47)))</formula>
    </cfRule>
  </conditionalFormatting>
  <conditionalFormatting sqref="B14">
    <cfRule type="containsText" dxfId="1014" priority="382" operator="containsText" text="AB">
      <formula>NOT(ISERROR(SEARCH("AB",B14)))</formula>
    </cfRule>
    <cfRule type="containsText" dxfId="1013" priority="383" operator="containsText" text="AB">
      <formula>NOT(ISERROR(SEARCH("AB",B14)))</formula>
    </cfRule>
  </conditionalFormatting>
  <conditionalFormatting sqref="B17">
    <cfRule type="containsText" dxfId="1012" priority="378" operator="containsText" text="AB">
      <formula>NOT(ISERROR(SEARCH("AB",B17)))</formula>
    </cfRule>
    <cfRule type="containsText" dxfId="1011" priority="379" operator="containsText" text="AB">
      <formula>NOT(ISERROR(SEARCH("AB",B17)))</formula>
    </cfRule>
  </conditionalFormatting>
  <conditionalFormatting sqref="B35">
    <cfRule type="containsText" dxfId="1010" priority="376" operator="containsText" text="AB">
      <formula>NOT(ISERROR(SEARCH("AB",B35)))</formula>
    </cfRule>
    <cfRule type="containsText" dxfId="1009" priority="377" operator="containsText" text="AB">
      <formula>NOT(ISERROR(SEARCH("AB",B35)))</formula>
    </cfRule>
  </conditionalFormatting>
  <conditionalFormatting sqref="B41">
    <cfRule type="containsText" dxfId="1008" priority="372" operator="containsText" text="AB">
      <formula>NOT(ISERROR(SEARCH("AB",B41)))</formula>
    </cfRule>
    <cfRule type="containsText" dxfId="1007" priority="373" operator="containsText" text="AB">
      <formula>NOT(ISERROR(SEARCH("AB",B41)))</formula>
    </cfRule>
  </conditionalFormatting>
  <conditionalFormatting sqref="B44">
    <cfRule type="containsText" dxfId="1006" priority="370" operator="containsText" text="AB">
      <formula>NOT(ISERROR(SEARCH("AB",B44)))</formula>
    </cfRule>
    <cfRule type="containsText" dxfId="1005" priority="371" operator="containsText" text="AB">
      <formula>NOT(ISERROR(SEARCH("AB",B44)))</formula>
    </cfRule>
  </conditionalFormatting>
  <conditionalFormatting sqref="B38">
    <cfRule type="containsText" dxfId="1004" priority="366" operator="containsText" text="AB">
      <formula>NOT(ISERROR(SEARCH("AB",B38)))</formula>
    </cfRule>
    <cfRule type="containsText" dxfId="1003" priority="367" operator="containsText" text="AB">
      <formula>NOT(ISERROR(SEARCH("AB",B38)))</formula>
    </cfRule>
  </conditionalFormatting>
  <conditionalFormatting sqref="B50">
    <cfRule type="containsText" dxfId="1002" priority="364" operator="containsText" text="AB">
      <formula>NOT(ISERROR(SEARCH("AB",B50)))</formula>
    </cfRule>
    <cfRule type="containsText" dxfId="1001" priority="365" operator="containsText" text="AB">
      <formula>NOT(ISERROR(SEARCH("AB",B50)))</formula>
    </cfRule>
  </conditionalFormatting>
  <conditionalFormatting sqref="B53">
    <cfRule type="containsText" dxfId="1000" priority="362" operator="containsText" text="AB">
      <formula>NOT(ISERROR(SEARCH("AB",B53)))</formula>
    </cfRule>
    <cfRule type="containsText" dxfId="999" priority="363" operator="containsText" text="AB">
      <formula>NOT(ISERROR(SEARCH("AB",B53)))</formula>
    </cfRule>
  </conditionalFormatting>
  <conditionalFormatting sqref="B64">
    <cfRule type="containsText" dxfId="998" priority="356" operator="containsText" text="AB">
      <formula>NOT(ISERROR(SEARCH("AB",B64)))</formula>
    </cfRule>
    <cfRule type="containsText" dxfId="997" priority="357" operator="containsText" text="AB">
      <formula>NOT(ISERROR(SEARCH("AB",B64)))</formula>
    </cfRule>
  </conditionalFormatting>
  <conditionalFormatting sqref="B23">
    <cfRule type="containsText" dxfId="996" priority="354" operator="containsText" text="AB">
      <formula>NOT(ISERROR(SEARCH("AB",B23)))</formula>
    </cfRule>
    <cfRule type="containsText" dxfId="995" priority="355" operator="containsText" text="AB">
      <formula>NOT(ISERROR(SEARCH("AB",B23)))</formula>
    </cfRule>
  </conditionalFormatting>
  <conditionalFormatting sqref="B26">
    <cfRule type="containsText" dxfId="994" priority="347" operator="containsText" text="AB">
      <formula>NOT(ISERROR(SEARCH("AB",B26)))</formula>
    </cfRule>
    <cfRule type="containsText" dxfId="993" priority="348" operator="containsText" text="AB">
      <formula>NOT(ISERROR(SEARCH("AB",B26)))</formula>
    </cfRule>
  </conditionalFormatting>
  <conditionalFormatting sqref="C69:AG69 AG67:AG68 E67:H68 J67:M68">
    <cfRule type="containsText" dxfId="992" priority="353" operator="containsText" text="AB">
      <formula>NOT(ISERROR(SEARCH("AB",C67)))</formula>
    </cfRule>
  </conditionalFormatting>
  <conditionalFormatting sqref="A67:A69 AT67:AT69 AV67:XFD69 C69:AJ69 AG67:AJ68 E67:H68 J67:M68">
    <cfRule type="containsText" dxfId="991" priority="351" operator="containsText" text="AB">
      <formula>NOT(ISERROR(SEARCH("AB",A67)))</formula>
    </cfRule>
    <cfRule type="containsText" dxfId="990" priority="352" operator="containsText" text="AB">
      <formula>NOT(ISERROR(SEARCH("AB",A67)))</formula>
    </cfRule>
  </conditionalFormatting>
  <conditionalFormatting sqref="B67">
    <cfRule type="containsText" dxfId="989" priority="349" operator="containsText" text="AB">
      <formula>NOT(ISERROR(SEARCH("AB",B67)))</formula>
    </cfRule>
    <cfRule type="containsText" dxfId="988" priority="350" operator="containsText" text="AB">
      <formula>NOT(ISERROR(SEARCH("AB",B67)))</formula>
    </cfRule>
  </conditionalFormatting>
  <conditionalFormatting sqref="AP5:AS5">
    <cfRule type="containsText" dxfId="987" priority="345" operator="containsText" text="AB">
      <formula>NOT(ISERROR(SEARCH("AB",AP5)))</formula>
    </cfRule>
    <cfRule type="containsText" dxfId="986" priority="346" operator="containsText" text="AB">
      <formula>NOT(ISERROR(SEARCH("AB",AP5)))</formula>
    </cfRule>
  </conditionalFormatting>
  <conditionalFormatting sqref="AK61:AS61 AK64:AS64 AK67:AS67">
    <cfRule type="containsText" dxfId="985" priority="337" operator="containsText" text="AB">
      <formula>NOT(ISERROR(SEARCH("AB",AK61)))</formula>
    </cfRule>
    <cfRule type="containsText" dxfId="984" priority="338" operator="containsText" text="AB">
      <formula>NOT(ISERROR(SEARCH("AB",AK61)))</formula>
    </cfRule>
  </conditionalFormatting>
  <conditionalFormatting sqref="AK8:AR8 AK11:AR11 AK14:AS14 AK17:AS17">
    <cfRule type="containsText" dxfId="983" priority="343" operator="containsText" text="AB">
      <formula>NOT(ISERROR(SEARCH("AB",AK8)))</formula>
    </cfRule>
    <cfRule type="containsText" dxfId="982" priority="344" operator="containsText" text="AB">
      <formula>NOT(ISERROR(SEARCH("AB",AK8)))</formula>
    </cfRule>
  </conditionalFormatting>
  <conditionalFormatting sqref="AK20:AS20 AK23:AS23 AK26:AS26 AK29:AS29 AK32:AS32">
    <cfRule type="containsText" dxfId="981" priority="341" operator="containsText" text="AB">
      <formula>NOT(ISERROR(SEARCH("AB",AK20)))</formula>
    </cfRule>
    <cfRule type="containsText" dxfId="980" priority="342" operator="containsText" text="AB">
      <formula>NOT(ISERROR(SEARCH("AB",AK20)))</formula>
    </cfRule>
  </conditionalFormatting>
  <conditionalFormatting sqref="AK35:AS35 AK53:AS53 AK38:AS38 AK41:AS41 AK44:AS44 AK47:AS47 AK50:AS50">
    <cfRule type="containsText" dxfId="979" priority="339" operator="containsText" text="AB">
      <formula>NOT(ISERROR(SEARCH("AB",AK35)))</formula>
    </cfRule>
    <cfRule type="containsText" dxfId="978" priority="340" operator="containsText" text="AB">
      <formula>NOT(ISERROR(SEARCH("AB",AK35)))</formula>
    </cfRule>
  </conditionalFormatting>
  <conditionalFormatting sqref="AS8 AS11">
    <cfRule type="containsText" dxfId="977" priority="333" operator="containsText" text="AB">
      <formula>NOT(ISERROR(SEARCH("AB",AS8)))</formula>
    </cfRule>
    <cfRule type="containsText" dxfId="976" priority="334" operator="containsText" text="AB">
      <formula>NOT(ISERROR(SEARCH("AB",AS8)))</formula>
    </cfRule>
  </conditionalFormatting>
  <conditionalFormatting sqref="E35:E36 F35:H35">
    <cfRule type="containsText" dxfId="975" priority="332" operator="containsText" text="AB">
      <formula>NOT(ISERROR(SEARCH("AB",E35)))</formula>
    </cfRule>
  </conditionalFormatting>
  <conditionalFormatting sqref="AA36:AC36">
    <cfRule type="containsText" dxfId="974" priority="150" operator="containsText" text="AB">
      <formula>NOT(ISERROR(SEARCH("AB",AA36)))</formula>
    </cfRule>
  </conditionalFormatting>
  <conditionalFormatting sqref="N38">
    <cfRule type="containsText" dxfId="973" priority="156" operator="containsText" text="AB">
      <formula>NOT(ISERROR(SEARCH("AB",N38)))</formula>
    </cfRule>
  </conditionalFormatting>
  <conditionalFormatting sqref="N39">
    <cfRule type="containsText" dxfId="972" priority="160" operator="containsText" text="AB">
      <formula>NOT(ISERROR(SEARCH("AB",N39)))</formula>
    </cfRule>
  </conditionalFormatting>
  <conditionalFormatting sqref="AD35:AD36">
    <cfRule type="containsText" dxfId="971" priority="326" operator="containsText" text="AB">
      <formula>NOT(ISERROR(SEARCH("AB",AD35)))</formula>
    </cfRule>
  </conditionalFormatting>
  <conditionalFormatting sqref="AD35">
    <cfRule type="containsText" dxfId="970" priority="325" operator="containsText" text="AB">
      <formula>NOT(ISERROR(SEARCH("AB",AD35)))</formula>
    </cfRule>
  </conditionalFormatting>
  <conditionalFormatting sqref="C36:D36">
    <cfRule type="containsText" dxfId="969" priority="178" operator="containsText" text="AB">
      <formula>NOT(ISERROR(SEARCH("AB",C36)))</formula>
    </cfRule>
  </conditionalFormatting>
  <conditionalFormatting sqref="C35:D35">
    <cfRule type="containsText" dxfId="968" priority="177" operator="containsText" text="AB">
      <formula>NOT(ISERROR(SEARCH("AB",C35)))</formula>
    </cfRule>
  </conditionalFormatting>
  <conditionalFormatting sqref="K35:M35">
    <cfRule type="containsText" dxfId="967" priority="322" operator="containsText" text="AB">
      <formula>NOT(ISERROR(SEARCH("AB",K35)))</formula>
    </cfRule>
  </conditionalFormatting>
  <conditionalFormatting sqref="P35:Z35">
    <cfRule type="containsText" dxfId="966" priority="321" operator="containsText" text="AB">
      <formula>NOT(ISERROR(SEARCH("AB",P35)))</formula>
    </cfRule>
  </conditionalFormatting>
  <conditionalFormatting sqref="AD35:AE35">
    <cfRule type="containsText" dxfId="965" priority="320" operator="containsText" text="AB">
      <formula>NOT(ISERROR(SEARCH("AB",AD35)))</formula>
    </cfRule>
  </conditionalFormatting>
  <conditionalFormatting sqref="E38:H39 I38:M38">
    <cfRule type="containsText" dxfId="964" priority="319" operator="containsText" text="AB">
      <formula>NOT(ISERROR(SEARCH("AB",E38)))</formula>
    </cfRule>
  </conditionalFormatting>
  <conditionalFormatting sqref="N39">
    <cfRule type="containsText" dxfId="963" priority="157" operator="containsText" text="AB">
      <formula>NOT(ISERROR(SEARCH("AB",N39)))</formula>
    </cfRule>
  </conditionalFormatting>
  <conditionalFormatting sqref="J36">
    <cfRule type="containsText" dxfId="962" priority="174" operator="containsText" text="AB">
      <formula>NOT(ISERROR(SEARCH("AB",J36)))</formula>
    </cfRule>
  </conditionalFormatting>
  <conditionalFormatting sqref="AE41:AF41">
    <cfRule type="containsText" dxfId="961" priority="114" operator="containsText" text="AB">
      <formula>NOT(ISERROR(SEARCH("AB",AE41)))</formula>
    </cfRule>
  </conditionalFormatting>
  <conditionalFormatting sqref="AE41:AF41">
    <cfRule type="containsText" dxfId="960" priority="112" operator="containsText" text="AB">
      <formula>NOT(ISERROR(SEARCH("AB",AE41)))</formula>
    </cfRule>
    <cfRule type="containsText" dxfId="959" priority="113" operator="containsText" text="AB">
      <formula>NOT(ISERROR(SEARCH("AB",AE41)))</formula>
    </cfRule>
  </conditionalFormatting>
  <conditionalFormatting sqref="AB45">
    <cfRule type="containsText" dxfId="958" priority="111" operator="containsText" text="AB">
      <formula>NOT(ISERROR(SEARCH("AB",AB45)))</formula>
    </cfRule>
  </conditionalFormatting>
  <conditionalFormatting sqref="C45:D45">
    <cfRule type="containsText" dxfId="957" priority="297" operator="containsText" text="AB">
      <formula>NOT(ISERROR(SEARCH("AB",C45)))</formula>
    </cfRule>
  </conditionalFormatting>
  <conditionalFormatting sqref="C45:D45">
    <cfRule type="containsText" dxfId="956" priority="295" operator="containsText" text="AB">
      <formula>NOT(ISERROR(SEARCH("AB",C45)))</formula>
    </cfRule>
    <cfRule type="containsText" dxfId="955" priority="296" operator="containsText" text="AB">
      <formula>NOT(ISERROR(SEARCH("AB",C45)))</formula>
    </cfRule>
  </conditionalFormatting>
  <conditionalFormatting sqref="C45:D45">
    <cfRule type="containsText" dxfId="954" priority="294" operator="containsText" text="AB">
      <formula>NOT(ISERROR(SEARCH("AB",C45)))</formula>
    </cfRule>
  </conditionalFormatting>
  <conditionalFormatting sqref="I44:I45">
    <cfRule type="containsText" dxfId="953" priority="293" operator="containsText" text="AB">
      <formula>NOT(ISERROR(SEARCH("AB",I44)))</formula>
    </cfRule>
  </conditionalFormatting>
  <conditionalFormatting sqref="I44:I45">
    <cfRule type="containsText" dxfId="952" priority="291" operator="containsText" text="AB">
      <formula>NOT(ISERROR(SEARCH("AB",I44)))</formula>
    </cfRule>
    <cfRule type="containsText" dxfId="951" priority="292" operator="containsText" text="AB">
      <formula>NOT(ISERROR(SEARCH("AB",I44)))</formula>
    </cfRule>
  </conditionalFormatting>
  <conditionalFormatting sqref="I67:I68">
    <cfRule type="containsText" dxfId="950" priority="1" operator="containsText" text="AB">
      <formula>NOT(ISERROR(SEARCH("AB",I67)))</formula>
    </cfRule>
    <cfRule type="containsText" dxfId="949" priority="2" operator="containsText" text="AB">
      <formula>NOT(ISERROR(SEARCH("AB",I67)))</formula>
    </cfRule>
  </conditionalFormatting>
  <conditionalFormatting sqref="AB43">
    <cfRule type="containsText" dxfId="948" priority="290" operator="containsText" text="AB">
      <formula>NOT(ISERROR(SEARCH("AB",AB43)))</formula>
    </cfRule>
  </conditionalFormatting>
  <conditionalFormatting sqref="AB43">
    <cfRule type="containsText" dxfId="947" priority="288" operator="containsText" text="AB">
      <formula>NOT(ISERROR(SEARCH("AB",AB43)))</formula>
    </cfRule>
    <cfRule type="containsText" dxfId="946" priority="289" operator="containsText" text="AB">
      <formula>NOT(ISERROR(SEARCH("AB",AB43)))</formula>
    </cfRule>
  </conditionalFormatting>
  <conditionalFormatting sqref="AB43">
    <cfRule type="containsText" dxfId="945" priority="287" operator="containsText" text="AB">
      <formula>NOT(ISERROR(SEARCH("AB",AB43)))</formula>
    </cfRule>
  </conditionalFormatting>
  <conditionalFormatting sqref="AF43">
    <cfRule type="containsText" dxfId="944" priority="286" operator="containsText" text="AB">
      <formula>NOT(ISERROR(SEARCH("AB",AF43)))</formula>
    </cfRule>
  </conditionalFormatting>
  <conditionalFormatting sqref="AF43">
    <cfRule type="containsText" dxfId="943" priority="284" operator="containsText" text="AB">
      <formula>NOT(ISERROR(SEARCH("AB",AF43)))</formula>
    </cfRule>
    <cfRule type="containsText" dxfId="942" priority="285" operator="containsText" text="AB">
      <formula>NOT(ISERROR(SEARCH("AB",AF43)))</formula>
    </cfRule>
  </conditionalFormatting>
  <conditionalFormatting sqref="AF43">
    <cfRule type="containsText" dxfId="941" priority="283" operator="containsText" text="AB">
      <formula>NOT(ISERROR(SEARCH("AB",AF43)))</formula>
    </cfRule>
  </conditionalFormatting>
  <conditionalFormatting sqref="C48:D48">
    <cfRule type="containsText" dxfId="940" priority="282" operator="containsText" text="AB">
      <formula>NOT(ISERROR(SEARCH("AB",C48)))</formula>
    </cfRule>
  </conditionalFormatting>
  <conditionalFormatting sqref="C48:D48">
    <cfRule type="containsText" dxfId="939" priority="280" operator="containsText" text="AB">
      <formula>NOT(ISERROR(SEARCH("AB",C48)))</formula>
    </cfRule>
    <cfRule type="containsText" dxfId="938" priority="281" operator="containsText" text="AB">
      <formula>NOT(ISERROR(SEARCH("AB",C48)))</formula>
    </cfRule>
  </conditionalFormatting>
  <conditionalFormatting sqref="C48:D48">
    <cfRule type="containsText" dxfId="937" priority="279" operator="containsText" text="AB">
      <formula>NOT(ISERROR(SEARCH("AB",C48)))</formula>
    </cfRule>
  </conditionalFormatting>
  <conditionalFormatting sqref="I47:I48">
    <cfRule type="containsText" dxfId="936" priority="278" operator="containsText" text="AB">
      <formula>NOT(ISERROR(SEARCH("AB",I47)))</formula>
    </cfRule>
  </conditionalFormatting>
  <conditionalFormatting sqref="I47:I48">
    <cfRule type="containsText" dxfId="935" priority="276" operator="containsText" text="AB">
      <formula>NOT(ISERROR(SEARCH("AB",I47)))</formula>
    </cfRule>
    <cfRule type="containsText" dxfId="934" priority="277" operator="containsText" text="AB">
      <formula>NOT(ISERROR(SEARCH("AB",I47)))</formula>
    </cfRule>
  </conditionalFormatting>
  <conditionalFormatting sqref="C39:D39">
    <cfRule type="containsText" dxfId="933" priority="188" operator="containsText" text="AB">
      <formula>NOT(ISERROR(SEARCH("AB",C39)))</formula>
    </cfRule>
  </conditionalFormatting>
  <conditionalFormatting sqref="C39:D39">
    <cfRule type="containsText" dxfId="932" priority="186" operator="containsText" text="AB">
      <formula>NOT(ISERROR(SEARCH("AB",C39)))</formula>
    </cfRule>
    <cfRule type="containsText" dxfId="931" priority="187" operator="containsText" text="AB">
      <formula>NOT(ISERROR(SEARCH("AB",C39)))</formula>
    </cfRule>
  </conditionalFormatting>
  <conditionalFormatting sqref="C39:D39">
    <cfRule type="containsText" dxfId="930" priority="185" operator="containsText" text="AB">
      <formula>NOT(ISERROR(SEARCH("AB",C39)))</formula>
    </cfRule>
  </conditionalFormatting>
  <conditionalFormatting sqref="C51:D51">
    <cfRule type="containsText" dxfId="929" priority="267" operator="containsText" text="AB">
      <formula>NOT(ISERROR(SEARCH("AB",C51)))</formula>
    </cfRule>
  </conditionalFormatting>
  <conditionalFormatting sqref="C51:D51">
    <cfRule type="containsText" dxfId="928" priority="265" operator="containsText" text="AB">
      <formula>NOT(ISERROR(SEARCH("AB",C51)))</formula>
    </cfRule>
    <cfRule type="containsText" dxfId="927" priority="266" operator="containsText" text="AB">
      <formula>NOT(ISERROR(SEARCH("AB",C51)))</formula>
    </cfRule>
  </conditionalFormatting>
  <conditionalFormatting sqref="C51:D51">
    <cfRule type="containsText" dxfId="926" priority="264" operator="containsText" text="AB">
      <formula>NOT(ISERROR(SEARCH("AB",C51)))</formula>
    </cfRule>
  </conditionalFormatting>
  <conditionalFormatting sqref="J50:J51 K50:M50">
    <cfRule type="containsText" dxfId="925" priority="263" operator="containsText" text="AB">
      <formula>NOT(ISERROR(SEARCH("AB",J50)))</formula>
    </cfRule>
  </conditionalFormatting>
  <conditionalFormatting sqref="J50:J51 K50:M50">
    <cfRule type="containsText" dxfId="924" priority="261" operator="containsText" text="AB">
      <formula>NOT(ISERROR(SEARCH("AB",J50)))</formula>
    </cfRule>
    <cfRule type="containsText" dxfId="923" priority="262" operator="containsText" text="AB">
      <formula>NOT(ISERROR(SEARCH("AB",J50)))</formula>
    </cfRule>
  </conditionalFormatting>
  <conditionalFormatting sqref="J50:J51 K50:M50">
    <cfRule type="containsText" dxfId="922" priority="260" operator="containsText" text="AB">
      <formula>NOT(ISERROR(SEARCH("AB",J50)))</formula>
    </cfRule>
  </conditionalFormatting>
  <conditionalFormatting sqref="C54:D54">
    <cfRule type="containsText" dxfId="921" priority="243" operator="containsText" text="AB">
      <formula>NOT(ISERROR(SEARCH("AB",C54)))</formula>
    </cfRule>
  </conditionalFormatting>
  <conditionalFormatting sqref="C54:D54">
    <cfRule type="containsText" dxfId="920" priority="241" operator="containsText" text="AB">
      <formula>NOT(ISERROR(SEARCH("AB",C54)))</formula>
    </cfRule>
    <cfRule type="containsText" dxfId="919" priority="242" operator="containsText" text="AB">
      <formula>NOT(ISERROR(SEARCH("AB",C54)))</formula>
    </cfRule>
  </conditionalFormatting>
  <conditionalFormatting sqref="C54:D54">
    <cfRule type="containsText" dxfId="918" priority="240" operator="containsText" text="AB">
      <formula>NOT(ISERROR(SEARCH("AB",C54)))</formula>
    </cfRule>
  </conditionalFormatting>
  <conditionalFormatting sqref="C47:D47">
    <cfRule type="containsText" dxfId="917" priority="201" operator="containsText" text="AB">
      <formula>NOT(ISERROR(SEARCH("AB",C47)))</formula>
    </cfRule>
  </conditionalFormatting>
  <conditionalFormatting sqref="C47:D47">
    <cfRule type="containsText" dxfId="916" priority="199" operator="containsText" text="AB">
      <formula>NOT(ISERROR(SEARCH("AB",C47)))</formula>
    </cfRule>
    <cfRule type="containsText" dxfId="915" priority="200" operator="containsText" text="AB">
      <formula>NOT(ISERROR(SEARCH("AB",C47)))</formula>
    </cfRule>
  </conditionalFormatting>
  <conditionalFormatting sqref="C44:D44">
    <cfRule type="containsText" dxfId="914" priority="198" operator="containsText" text="AB">
      <formula>NOT(ISERROR(SEARCH("AB",C44)))</formula>
    </cfRule>
  </conditionalFormatting>
  <conditionalFormatting sqref="E61:F62 G61:H61">
    <cfRule type="containsText" dxfId="913" priority="231" operator="containsText" text="AB">
      <formula>NOT(ISERROR(SEARCH("AB",E61)))</formula>
    </cfRule>
  </conditionalFormatting>
  <conditionalFormatting sqref="E61:F62 G61:H61">
    <cfRule type="containsText" dxfId="912" priority="229" operator="containsText" text="AB">
      <formula>NOT(ISERROR(SEARCH("AB",E61)))</formula>
    </cfRule>
    <cfRule type="containsText" dxfId="911" priority="230" operator="containsText" text="AB">
      <formula>NOT(ISERROR(SEARCH("AB",E61)))</formula>
    </cfRule>
  </conditionalFormatting>
  <conditionalFormatting sqref="C62:D62">
    <cfRule type="containsText" dxfId="910" priority="228" operator="containsText" text="AB">
      <formula>NOT(ISERROR(SEARCH("AB",C62)))</formula>
    </cfRule>
  </conditionalFormatting>
  <conditionalFormatting sqref="C62:D62">
    <cfRule type="containsText" dxfId="909" priority="226" operator="containsText" text="AB">
      <formula>NOT(ISERROR(SEARCH("AB",C62)))</formula>
    </cfRule>
    <cfRule type="containsText" dxfId="908" priority="227" operator="containsText" text="AB">
      <formula>NOT(ISERROR(SEARCH("AB",C62)))</formula>
    </cfRule>
  </conditionalFormatting>
  <conditionalFormatting sqref="C62:D62">
    <cfRule type="containsText" dxfId="907" priority="225" operator="containsText" text="AB">
      <formula>NOT(ISERROR(SEARCH("AB",C62)))</formula>
    </cfRule>
  </conditionalFormatting>
  <conditionalFormatting sqref="Y62:AA62 AC62">
    <cfRule type="containsText" dxfId="906" priority="224" operator="containsText" text="AB">
      <formula>NOT(ISERROR(SEARCH("AB",Y62)))</formula>
    </cfRule>
  </conditionalFormatting>
  <conditionalFormatting sqref="Y62:AA62 AC62">
    <cfRule type="containsText" dxfId="905" priority="222" operator="containsText" text="AB">
      <formula>NOT(ISERROR(SEARCH("AB",Y62)))</formula>
    </cfRule>
    <cfRule type="containsText" dxfId="904" priority="223" operator="containsText" text="AB">
      <formula>NOT(ISERROR(SEARCH("AB",Y62)))</formula>
    </cfRule>
  </conditionalFormatting>
  <conditionalFormatting sqref="Y62:AA62 AC62">
    <cfRule type="containsText" dxfId="903" priority="221" operator="containsText" text="AB">
      <formula>NOT(ISERROR(SEARCH("AB",Y62)))</formula>
    </cfRule>
  </conditionalFormatting>
  <conditionalFormatting sqref="AE62">
    <cfRule type="containsText" dxfId="902" priority="220" operator="containsText" text="AB">
      <formula>NOT(ISERROR(SEARCH("AB",AE62)))</formula>
    </cfRule>
  </conditionalFormatting>
  <conditionalFormatting sqref="AE62">
    <cfRule type="containsText" dxfId="901" priority="218" operator="containsText" text="AB">
      <formula>NOT(ISERROR(SEARCH("AB",AE62)))</formula>
    </cfRule>
    <cfRule type="containsText" dxfId="900" priority="219" operator="containsText" text="AB">
      <formula>NOT(ISERROR(SEARCH("AB",AE62)))</formula>
    </cfRule>
  </conditionalFormatting>
  <conditionalFormatting sqref="AE62">
    <cfRule type="containsText" dxfId="899" priority="217" operator="containsText" text="AB">
      <formula>NOT(ISERROR(SEARCH("AB",AE62)))</formula>
    </cfRule>
  </conditionalFormatting>
  <conditionalFormatting sqref="C64:AF65">
    <cfRule type="containsText" dxfId="898" priority="216" operator="containsText" text="AB">
      <formula>NOT(ISERROR(SEARCH("AB",C64)))</formula>
    </cfRule>
  </conditionalFormatting>
  <conditionalFormatting sqref="C64:AF65">
    <cfRule type="containsText" dxfId="897" priority="214" operator="containsText" text="AB">
      <formula>NOT(ISERROR(SEARCH("AB",C64)))</formula>
    </cfRule>
    <cfRule type="containsText" dxfId="896" priority="215" operator="containsText" text="AB">
      <formula>NOT(ISERROR(SEARCH("AB",C64)))</formula>
    </cfRule>
  </conditionalFormatting>
  <conditionalFormatting sqref="C67:D68">
    <cfRule type="containsText" dxfId="895" priority="213" operator="containsText" text="AB">
      <formula>NOT(ISERROR(SEARCH("AB",C67)))</formula>
    </cfRule>
  </conditionalFormatting>
  <conditionalFormatting sqref="C67:D68">
    <cfRule type="containsText" dxfId="894" priority="211" operator="containsText" text="AB">
      <formula>NOT(ISERROR(SEARCH("AB",C67)))</formula>
    </cfRule>
    <cfRule type="containsText" dxfId="893" priority="212" operator="containsText" text="AB">
      <formula>NOT(ISERROR(SEARCH("AB",C67)))</formula>
    </cfRule>
  </conditionalFormatting>
  <conditionalFormatting sqref="C61:D61">
    <cfRule type="containsText" dxfId="892" priority="210" operator="containsText" text="AB">
      <formula>NOT(ISERROR(SEARCH("AB",C61)))</formula>
    </cfRule>
  </conditionalFormatting>
  <conditionalFormatting sqref="C61:D61">
    <cfRule type="containsText" dxfId="891" priority="208" operator="containsText" text="AB">
      <formula>NOT(ISERROR(SEARCH("AB",C61)))</formula>
    </cfRule>
    <cfRule type="containsText" dxfId="890" priority="209" operator="containsText" text="AB">
      <formula>NOT(ISERROR(SEARCH("AB",C61)))</formula>
    </cfRule>
  </conditionalFormatting>
  <conditionalFormatting sqref="C53:D53">
    <cfRule type="containsText" dxfId="889" priority="207" operator="containsText" text="AB">
      <formula>NOT(ISERROR(SEARCH("AB",C53)))</formula>
    </cfRule>
  </conditionalFormatting>
  <conditionalFormatting sqref="C53:D53">
    <cfRule type="containsText" dxfId="888" priority="205" operator="containsText" text="AB">
      <formula>NOT(ISERROR(SEARCH("AB",C53)))</formula>
    </cfRule>
    <cfRule type="containsText" dxfId="887" priority="206" operator="containsText" text="AB">
      <formula>NOT(ISERROR(SEARCH("AB",C53)))</formula>
    </cfRule>
  </conditionalFormatting>
  <conditionalFormatting sqref="C50:D50">
    <cfRule type="containsText" dxfId="886" priority="204" operator="containsText" text="AB">
      <formula>NOT(ISERROR(SEARCH("AB",C50)))</formula>
    </cfRule>
  </conditionalFormatting>
  <conditionalFormatting sqref="C50:D50">
    <cfRule type="containsText" dxfId="885" priority="202" operator="containsText" text="AB">
      <formula>NOT(ISERROR(SEARCH("AB",C50)))</formula>
    </cfRule>
    <cfRule type="containsText" dxfId="884" priority="203" operator="containsText" text="AB">
      <formula>NOT(ISERROR(SEARCH("AB",C50)))</formula>
    </cfRule>
  </conditionalFormatting>
  <conditionalFormatting sqref="C44:D44">
    <cfRule type="containsText" dxfId="883" priority="196" operator="containsText" text="AB">
      <formula>NOT(ISERROR(SEARCH("AB",C44)))</formula>
    </cfRule>
    <cfRule type="containsText" dxfId="882" priority="197" operator="containsText" text="AB">
      <formula>NOT(ISERROR(SEARCH("AB",C44)))</formula>
    </cfRule>
  </conditionalFormatting>
  <conditionalFormatting sqref="C42">
    <cfRule type="containsText" dxfId="881" priority="195" operator="containsText" text="AB">
      <formula>NOT(ISERROR(SEARCH("AB",C42)))</formula>
    </cfRule>
  </conditionalFormatting>
  <conditionalFormatting sqref="C42">
    <cfRule type="containsText" dxfId="880" priority="193" operator="containsText" text="AB">
      <formula>NOT(ISERROR(SEARCH("AB",C42)))</formula>
    </cfRule>
    <cfRule type="containsText" dxfId="879" priority="194" operator="containsText" text="AB">
      <formula>NOT(ISERROR(SEARCH("AB",C42)))</formula>
    </cfRule>
  </conditionalFormatting>
  <conditionalFormatting sqref="C42">
    <cfRule type="containsText" dxfId="878" priority="192" operator="containsText" text="AB">
      <formula>NOT(ISERROR(SEARCH("AB",C42)))</formula>
    </cfRule>
  </conditionalFormatting>
  <conditionalFormatting sqref="C41">
    <cfRule type="containsText" dxfId="877" priority="191" operator="containsText" text="AB">
      <formula>NOT(ISERROR(SEARCH("AB",C41)))</formula>
    </cfRule>
  </conditionalFormatting>
  <conditionalFormatting sqref="C41">
    <cfRule type="containsText" dxfId="876" priority="189" operator="containsText" text="AB">
      <formula>NOT(ISERROR(SEARCH("AB",C41)))</formula>
    </cfRule>
    <cfRule type="containsText" dxfId="875" priority="190" operator="containsText" text="AB">
      <formula>NOT(ISERROR(SEARCH("AB",C41)))</formula>
    </cfRule>
  </conditionalFormatting>
  <conditionalFormatting sqref="C38:D38">
    <cfRule type="containsText" dxfId="874" priority="184" operator="containsText" text="AB">
      <formula>NOT(ISERROR(SEARCH("AB",C38)))</formula>
    </cfRule>
  </conditionalFormatting>
  <conditionalFormatting sqref="C38:D38">
    <cfRule type="containsText" dxfId="873" priority="182" operator="containsText" text="AB">
      <formula>NOT(ISERROR(SEARCH("AB",C38)))</formula>
    </cfRule>
    <cfRule type="containsText" dxfId="872" priority="183" operator="containsText" text="AB">
      <formula>NOT(ISERROR(SEARCH("AB",C38)))</formula>
    </cfRule>
  </conditionalFormatting>
  <conditionalFormatting sqref="C36:D36">
    <cfRule type="containsText" dxfId="871" priority="181" operator="containsText" text="AB">
      <formula>NOT(ISERROR(SEARCH("AB",C36)))</formula>
    </cfRule>
  </conditionalFormatting>
  <conditionalFormatting sqref="C36:D36">
    <cfRule type="containsText" dxfId="870" priority="179" operator="containsText" text="AB">
      <formula>NOT(ISERROR(SEARCH("AB",C36)))</formula>
    </cfRule>
    <cfRule type="containsText" dxfId="869" priority="180" operator="containsText" text="AB">
      <formula>NOT(ISERROR(SEARCH("AB",C36)))</formula>
    </cfRule>
  </conditionalFormatting>
  <conditionalFormatting sqref="C35:D35">
    <cfRule type="containsText" dxfId="868" priority="175" operator="containsText" text="AB">
      <formula>NOT(ISERROR(SEARCH("AB",C35)))</formula>
    </cfRule>
    <cfRule type="containsText" dxfId="867" priority="176" operator="containsText" text="AB">
      <formula>NOT(ISERROR(SEARCH("AB",C35)))</formula>
    </cfRule>
  </conditionalFormatting>
  <conditionalFormatting sqref="J36">
    <cfRule type="containsText" dxfId="866" priority="172" operator="containsText" text="AB">
      <formula>NOT(ISERROR(SEARCH("AB",J36)))</formula>
    </cfRule>
    <cfRule type="containsText" dxfId="865" priority="173" operator="containsText" text="AB">
      <formula>NOT(ISERROR(SEARCH("AB",J36)))</formula>
    </cfRule>
  </conditionalFormatting>
  <conditionalFormatting sqref="J36">
    <cfRule type="containsText" dxfId="864" priority="171" operator="containsText" text="AB">
      <formula>NOT(ISERROR(SEARCH("AB",J36)))</formula>
    </cfRule>
  </conditionalFormatting>
  <conditionalFormatting sqref="J35">
    <cfRule type="containsText" dxfId="863" priority="170" operator="containsText" text="AB">
      <formula>NOT(ISERROR(SEARCH("AB",J35)))</formula>
    </cfRule>
  </conditionalFormatting>
  <conditionalFormatting sqref="J35">
    <cfRule type="containsText" dxfId="862" priority="168" operator="containsText" text="AB">
      <formula>NOT(ISERROR(SEARCH("AB",J35)))</formula>
    </cfRule>
    <cfRule type="containsText" dxfId="861" priority="169" operator="containsText" text="AB">
      <formula>NOT(ISERROR(SEARCH("AB",J35)))</formula>
    </cfRule>
  </conditionalFormatting>
  <conditionalFormatting sqref="N36:O36">
    <cfRule type="containsText" dxfId="860" priority="167" operator="containsText" text="AB">
      <formula>NOT(ISERROR(SEARCH("AB",N36)))</formula>
    </cfRule>
  </conditionalFormatting>
  <conditionalFormatting sqref="N36:O36">
    <cfRule type="containsText" dxfId="859" priority="165" operator="containsText" text="AB">
      <formula>NOT(ISERROR(SEARCH("AB",N36)))</formula>
    </cfRule>
    <cfRule type="containsText" dxfId="858" priority="166" operator="containsText" text="AB">
      <formula>NOT(ISERROR(SEARCH("AB",N36)))</formula>
    </cfRule>
  </conditionalFormatting>
  <conditionalFormatting sqref="N36:O36">
    <cfRule type="containsText" dxfId="857" priority="164" operator="containsText" text="AB">
      <formula>NOT(ISERROR(SEARCH("AB",N36)))</formula>
    </cfRule>
  </conditionalFormatting>
  <conditionalFormatting sqref="N35:O35">
    <cfRule type="containsText" dxfId="856" priority="163" operator="containsText" text="AB">
      <formula>NOT(ISERROR(SEARCH("AB",N35)))</formula>
    </cfRule>
  </conditionalFormatting>
  <conditionalFormatting sqref="N35:O35">
    <cfRule type="containsText" dxfId="855" priority="161" operator="containsText" text="AB">
      <formula>NOT(ISERROR(SEARCH("AB",N35)))</formula>
    </cfRule>
    <cfRule type="containsText" dxfId="854" priority="162" operator="containsText" text="AB">
      <formula>NOT(ISERROR(SEARCH("AB",N35)))</formula>
    </cfRule>
  </conditionalFormatting>
  <conditionalFormatting sqref="N39">
    <cfRule type="containsText" dxfId="853" priority="158" operator="containsText" text="AB">
      <formula>NOT(ISERROR(SEARCH("AB",N39)))</formula>
    </cfRule>
    <cfRule type="containsText" dxfId="852" priority="159" operator="containsText" text="AB">
      <formula>NOT(ISERROR(SEARCH("AB",N39)))</formula>
    </cfRule>
  </conditionalFormatting>
  <conditionalFormatting sqref="N38">
    <cfRule type="containsText" dxfId="851" priority="154" operator="containsText" text="AB">
      <formula>NOT(ISERROR(SEARCH("AB",N38)))</formula>
    </cfRule>
    <cfRule type="containsText" dxfId="850" priority="155" operator="containsText" text="AB">
      <formula>NOT(ISERROR(SEARCH("AB",N38)))</formula>
    </cfRule>
  </conditionalFormatting>
  <conditionalFormatting sqref="AA36:AC36">
    <cfRule type="containsText" dxfId="849" priority="153" operator="containsText" text="AB">
      <formula>NOT(ISERROR(SEARCH("AB",AA36)))</formula>
    </cfRule>
  </conditionalFormatting>
  <conditionalFormatting sqref="AA36:AC36">
    <cfRule type="containsText" dxfId="848" priority="151" operator="containsText" text="AB">
      <formula>NOT(ISERROR(SEARCH("AB",AA36)))</formula>
    </cfRule>
    <cfRule type="containsText" dxfId="847" priority="152" operator="containsText" text="AB">
      <formula>NOT(ISERROR(SEARCH("AB",AA36)))</formula>
    </cfRule>
  </conditionalFormatting>
  <conditionalFormatting sqref="AA35:AC35">
    <cfRule type="containsText" dxfId="846" priority="149" operator="containsText" text="AB">
      <formula>NOT(ISERROR(SEARCH("AB",AA35)))</formula>
    </cfRule>
  </conditionalFormatting>
  <conditionalFormatting sqref="AA35:AC35">
    <cfRule type="containsText" dxfId="845" priority="147" operator="containsText" text="AB">
      <formula>NOT(ISERROR(SEARCH("AB",AA35)))</formula>
    </cfRule>
    <cfRule type="containsText" dxfId="844" priority="148" operator="containsText" text="AB">
      <formula>NOT(ISERROR(SEARCH("AB",AA35)))</formula>
    </cfRule>
  </conditionalFormatting>
  <conditionalFormatting sqref="AF36">
    <cfRule type="containsText" dxfId="843" priority="146" operator="containsText" text="AB">
      <formula>NOT(ISERROR(SEARCH("AB",AF36)))</formula>
    </cfRule>
  </conditionalFormatting>
  <conditionalFormatting sqref="AF36">
    <cfRule type="containsText" dxfId="842" priority="144" operator="containsText" text="AB">
      <formula>NOT(ISERROR(SEARCH("AB",AF36)))</formula>
    </cfRule>
    <cfRule type="containsText" dxfId="841" priority="145" operator="containsText" text="AB">
      <formula>NOT(ISERROR(SEARCH("AB",AF36)))</formula>
    </cfRule>
  </conditionalFormatting>
  <conditionalFormatting sqref="AF36">
    <cfRule type="containsText" dxfId="840" priority="143" operator="containsText" text="AB">
      <formula>NOT(ISERROR(SEARCH("AB",AF36)))</formula>
    </cfRule>
  </conditionalFormatting>
  <conditionalFormatting sqref="AF35">
    <cfRule type="containsText" dxfId="839" priority="142" operator="containsText" text="AB">
      <formula>NOT(ISERROR(SEARCH("AB",AF35)))</formula>
    </cfRule>
  </conditionalFormatting>
  <conditionalFormatting sqref="AF35">
    <cfRule type="containsText" dxfId="838" priority="140" operator="containsText" text="AB">
      <formula>NOT(ISERROR(SEARCH("AB",AF35)))</formula>
    </cfRule>
    <cfRule type="containsText" dxfId="837" priority="141" operator="containsText" text="AB">
      <formula>NOT(ISERROR(SEARCH("AB",AF35)))</formula>
    </cfRule>
  </conditionalFormatting>
  <conditionalFormatting sqref="Q39">
    <cfRule type="containsText" dxfId="836" priority="139" operator="containsText" text="AB">
      <formula>NOT(ISERROR(SEARCH("AB",Q39)))</formula>
    </cfRule>
  </conditionalFormatting>
  <conditionalFormatting sqref="Q39">
    <cfRule type="containsText" dxfId="835" priority="137" operator="containsText" text="AB">
      <formula>NOT(ISERROR(SEARCH("AB",Q39)))</formula>
    </cfRule>
    <cfRule type="containsText" dxfId="834" priority="138" operator="containsText" text="AB">
      <formula>NOT(ISERROR(SEARCH("AB",Q39)))</formula>
    </cfRule>
  </conditionalFormatting>
  <conditionalFormatting sqref="Q39">
    <cfRule type="containsText" dxfId="833" priority="136" operator="containsText" text="AB">
      <formula>NOT(ISERROR(SEARCH("AB",Q39)))</formula>
    </cfRule>
  </conditionalFormatting>
  <conditionalFormatting sqref="Q38">
    <cfRule type="containsText" dxfId="832" priority="135" operator="containsText" text="AB">
      <formula>NOT(ISERROR(SEARCH("AB",Q38)))</formula>
    </cfRule>
  </conditionalFormatting>
  <conditionalFormatting sqref="Q38">
    <cfRule type="containsText" dxfId="831" priority="133" operator="containsText" text="AB">
      <formula>NOT(ISERROR(SEARCH("AB",Q38)))</formula>
    </cfRule>
    <cfRule type="containsText" dxfId="830" priority="134" operator="containsText" text="AB">
      <formula>NOT(ISERROR(SEARCH("AB",Q38)))</formula>
    </cfRule>
  </conditionalFormatting>
  <conditionalFormatting sqref="V39:AF39">
    <cfRule type="containsText" dxfId="829" priority="132" operator="containsText" text="AB">
      <formula>NOT(ISERROR(SEARCH("AB",V39)))</formula>
    </cfRule>
  </conditionalFormatting>
  <conditionalFormatting sqref="V39:AF39">
    <cfRule type="containsText" dxfId="828" priority="130" operator="containsText" text="AB">
      <formula>NOT(ISERROR(SEARCH("AB",V39)))</formula>
    </cfRule>
    <cfRule type="containsText" dxfId="827" priority="131" operator="containsText" text="AB">
      <formula>NOT(ISERROR(SEARCH("AB",V39)))</formula>
    </cfRule>
  </conditionalFormatting>
  <conditionalFormatting sqref="V39:AF39">
    <cfRule type="containsText" dxfId="826" priority="129" operator="containsText" text="AB">
      <formula>NOT(ISERROR(SEARCH("AB",V39)))</formula>
    </cfRule>
  </conditionalFormatting>
  <conditionalFormatting sqref="V38:AF38">
    <cfRule type="containsText" dxfId="825" priority="128" operator="containsText" text="AB">
      <formula>NOT(ISERROR(SEARCH("AB",V38)))</formula>
    </cfRule>
  </conditionalFormatting>
  <conditionalFormatting sqref="V38:AF38">
    <cfRule type="containsText" dxfId="824" priority="126" operator="containsText" text="AB">
      <formula>NOT(ISERROR(SEARCH("AB",V38)))</formula>
    </cfRule>
    <cfRule type="containsText" dxfId="823" priority="127" operator="containsText" text="AB">
      <formula>NOT(ISERROR(SEARCH("AB",V38)))</formula>
    </cfRule>
  </conditionalFormatting>
  <conditionalFormatting sqref="AB42">
    <cfRule type="containsText" dxfId="822" priority="125" operator="containsText" text="AB">
      <formula>NOT(ISERROR(SEARCH("AB",AB42)))</formula>
    </cfRule>
  </conditionalFormatting>
  <conditionalFormatting sqref="AB42">
    <cfRule type="containsText" dxfId="821" priority="123" operator="containsText" text="AB">
      <formula>NOT(ISERROR(SEARCH("AB",AB42)))</formula>
    </cfRule>
    <cfRule type="containsText" dxfId="820" priority="124" operator="containsText" text="AB">
      <formula>NOT(ISERROR(SEARCH("AB",AB42)))</formula>
    </cfRule>
  </conditionalFormatting>
  <conditionalFormatting sqref="AB42">
    <cfRule type="containsText" dxfId="819" priority="122" operator="containsText" text="AB">
      <formula>NOT(ISERROR(SEARCH("AB",AB42)))</formula>
    </cfRule>
  </conditionalFormatting>
  <conditionalFormatting sqref="AB41">
    <cfRule type="containsText" dxfId="818" priority="121" operator="containsText" text="AB">
      <formula>NOT(ISERROR(SEARCH("AB",AB41)))</formula>
    </cfRule>
  </conditionalFormatting>
  <conditionalFormatting sqref="AB41">
    <cfRule type="containsText" dxfId="817" priority="119" operator="containsText" text="AB">
      <formula>NOT(ISERROR(SEARCH("AB",AB41)))</formula>
    </cfRule>
    <cfRule type="containsText" dxfId="816" priority="120" operator="containsText" text="AB">
      <formula>NOT(ISERROR(SEARCH("AB",AB41)))</formula>
    </cfRule>
  </conditionalFormatting>
  <conditionalFormatting sqref="AE42:AF42">
    <cfRule type="containsText" dxfId="815" priority="118" operator="containsText" text="AB">
      <formula>NOT(ISERROR(SEARCH("AB",AE42)))</formula>
    </cfRule>
  </conditionalFormatting>
  <conditionalFormatting sqref="AE42:AF42">
    <cfRule type="containsText" dxfId="814" priority="116" operator="containsText" text="AB">
      <formula>NOT(ISERROR(SEARCH("AB",AE42)))</formula>
    </cfRule>
    <cfRule type="containsText" dxfId="813" priority="117" operator="containsText" text="AB">
      <formula>NOT(ISERROR(SEARCH("AB",AE42)))</formula>
    </cfRule>
  </conditionalFormatting>
  <conditionalFormatting sqref="AE42:AF42">
    <cfRule type="containsText" dxfId="812" priority="115" operator="containsText" text="AB">
      <formula>NOT(ISERROR(SEARCH("AB",AE42)))</formula>
    </cfRule>
  </conditionalFormatting>
  <conditionalFormatting sqref="AB45">
    <cfRule type="containsText" dxfId="811" priority="109" operator="containsText" text="AB">
      <formula>NOT(ISERROR(SEARCH("AB",AB45)))</formula>
    </cfRule>
    <cfRule type="containsText" dxfId="810" priority="110" operator="containsText" text="AB">
      <formula>NOT(ISERROR(SEARCH("AB",AB45)))</formula>
    </cfRule>
  </conditionalFormatting>
  <conditionalFormatting sqref="AB45">
    <cfRule type="containsText" dxfId="809" priority="108" operator="containsText" text="AB">
      <formula>NOT(ISERROR(SEARCH("AB",AB45)))</formula>
    </cfRule>
  </conditionalFormatting>
  <conditionalFormatting sqref="AB44">
    <cfRule type="containsText" dxfId="808" priority="107" operator="containsText" text="AB">
      <formula>NOT(ISERROR(SEARCH("AB",AB44)))</formula>
    </cfRule>
  </conditionalFormatting>
  <conditionalFormatting sqref="AB44">
    <cfRule type="containsText" dxfId="807" priority="105" operator="containsText" text="AB">
      <formula>NOT(ISERROR(SEARCH("AB",AB44)))</formula>
    </cfRule>
    <cfRule type="containsText" dxfId="806" priority="106" operator="containsText" text="AB">
      <formula>NOT(ISERROR(SEARCH("AB",AB44)))</formula>
    </cfRule>
  </conditionalFormatting>
  <conditionalFormatting sqref="AF45">
    <cfRule type="containsText" dxfId="805" priority="104" operator="containsText" text="AB">
      <formula>NOT(ISERROR(SEARCH("AB",AF45)))</formula>
    </cfRule>
  </conditionalFormatting>
  <conditionalFormatting sqref="AF45">
    <cfRule type="containsText" dxfId="804" priority="102" operator="containsText" text="AB">
      <formula>NOT(ISERROR(SEARCH("AB",AF45)))</formula>
    </cfRule>
    <cfRule type="containsText" dxfId="803" priority="103" operator="containsText" text="AB">
      <formula>NOT(ISERROR(SEARCH("AB",AF45)))</formula>
    </cfRule>
  </conditionalFormatting>
  <conditionalFormatting sqref="AF45">
    <cfRule type="containsText" dxfId="802" priority="101" operator="containsText" text="AB">
      <formula>NOT(ISERROR(SEARCH("AB",AF45)))</formula>
    </cfRule>
  </conditionalFormatting>
  <conditionalFormatting sqref="AF44">
    <cfRule type="containsText" dxfId="801" priority="100" operator="containsText" text="AB">
      <formula>NOT(ISERROR(SEARCH("AB",AF44)))</formula>
    </cfRule>
  </conditionalFormatting>
  <conditionalFormatting sqref="AF44">
    <cfRule type="containsText" dxfId="800" priority="98" operator="containsText" text="AB">
      <formula>NOT(ISERROR(SEARCH("AB",AF44)))</formula>
    </cfRule>
    <cfRule type="containsText" dxfId="799" priority="99" operator="containsText" text="AB">
      <formula>NOT(ISERROR(SEARCH("AB",AF44)))</formula>
    </cfRule>
  </conditionalFormatting>
  <conditionalFormatting sqref="AB48">
    <cfRule type="containsText" dxfId="798" priority="97" operator="containsText" text="AB">
      <formula>NOT(ISERROR(SEARCH("AB",AB48)))</formula>
    </cfRule>
  </conditionalFormatting>
  <conditionalFormatting sqref="AB48">
    <cfRule type="containsText" dxfId="797" priority="95" operator="containsText" text="AB">
      <formula>NOT(ISERROR(SEARCH("AB",AB48)))</formula>
    </cfRule>
    <cfRule type="containsText" dxfId="796" priority="96" operator="containsText" text="AB">
      <formula>NOT(ISERROR(SEARCH("AB",AB48)))</formula>
    </cfRule>
  </conditionalFormatting>
  <conditionalFormatting sqref="AB48">
    <cfRule type="containsText" dxfId="795" priority="94" operator="containsText" text="AB">
      <formula>NOT(ISERROR(SEARCH("AB",AB48)))</formula>
    </cfRule>
  </conditionalFormatting>
  <conditionalFormatting sqref="AB47">
    <cfRule type="containsText" dxfId="794" priority="93" operator="containsText" text="AB">
      <formula>NOT(ISERROR(SEARCH("AB",AB47)))</formula>
    </cfRule>
  </conditionalFormatting>
  <conditionalFormatting sqref="AB47">
    <cfRule type="containsText" dxfId="793" priority="91" operator="containsText" text="AB">
      <formula>NOT(ISERROR(SEARCH("AB",AB47)))</formula>
    </cfRule>
    <cfRule type="containsText" dxfId="792" priority="92" operator="containsText" text="AB">
      <formula>NOT(ISERROR(SEARCH("AB",AB47)))</formula>
    </cfRule>
  </conditionalFormatting>
  <conditionalFormatting sqref="AE48">
    <cfRule type="containsText" dxfId="791" priority="90" operator="containsText" text="AB">
      <formula>NOT(ISERROR(SEARCH("AB",AE48)))</formula>
    </cfRule>
  </conditionalFormatting>
  <conditionalFormatting sqref="AE48">
    <cfRule type="containsText" dxfId="790" priority="88" operator="containsText" text="AB">
      <formula>NOT(ISERROR(SEARCH("AB",AE48)))</formula>
    </cfRule>
    <cfRule type="containsText" dxfId="789" priority="89" operator="containsText" text="AB">
      <formula>NOT(ISERROR(SEARCH("AB",AE48)))</formula>
    </cfRule>
  </conditionalFormatting>
  <conditionalFormatting sqref="AE48">
    <cfRule type="containsText" dxfId="788" priority="87" operator="containsText" text="AB">
      <formula>NOT(ISERROR(SEARCH("AB",AE48)))</formula>
    </cfRule>
  </conditionalFormatting>
  <conditionalFormatting sqref="AE47">
    <cfRule type="containsText" dxfId="787" priority="86" operator="containsText" text="AB">
      <formula>NOT(ISERROR(SEARCH("AB",AE47)))</formula>
    </cfRule>
  </conditionalFormatting>
  <conditionalFormatting sqref="AE47">
    <cfRule type="containsText" dxfId="786" priority="84" operator="containsText" text="AB">
      <formula>NOT(ISERROR(SEARCH("AB",AE47)))</formula>
    </cfRule>
    <cfRule type="containsText" dxfId="785" priority="85" operator="containsText" text="AB">
      <formula>NOT(ISERROR(SEARCH("AB",AE47)))</formula>
    </cfRule>
  </conditionalFormatting>
  <conditionalFormatting sqref="AF48">
    <cfRule type="containsText" dxfId="784" priority="83" operator="containsText" text="AB">
      <formula>NOT(ISERROR(SEARCH("AB",AF48)))</formula>
    </cfRule>
  </conditionalFormatting>
  <conditionalFormatting sqref="AF48">
    <cfRule type="containsText" dxfId="783" priority="81" operator="containsText" text="AB">
      <formula>NOT(ISERROR(SEARCH("AB",AF48)))</formula>
    </cfRule>
    <cfRule type="containsText" dxfId="782" priority="82" operator="containsText" text="AB">
      <formula>NOT(ISERROR(SEARCH("AB",AF48)))</formula>
    </cfRule>
  </conditionalFormatting>
  <conditionalFormatting sqref="AF48">
    <cfRule type="containsText" dxfId="781" priority="80" operator="containsText" text="AB">
      <formula>NOT(ISERROR(SEARCH("AB",AF48)))</formula>
    </cfRule>
  </conditionalFormatting>
  <conditionalFormatting sqref="AF47">
    <cfRule type="containsText" dxfId="780" priority="79" operator="containsText" text="AB">
      <formula>NOT(ISERROR(SEARCH("AB",AF47)))</formula>
    </cfRule>
  </conditionalFormatting>
  <conditionalFormatting sqref="AF47">
    <cfRule type="containsText" dxfId="779" priority="77" operator="containsText" text="AB">
      <formula>NOT(ISERROR(SEARCH("AB",AF47)))</formula>
    </cfRule>
    <cfRule type="containsText" dxfId="778" priority="78" operator="containsText" text="AB">
      <formula>NOT(ISERROR(SEARCH("AB",AF47)))</formula>
    </cfRule>
  </conditionalFormatting>
  <conditionalFormatting sqref="I51">
    <cfRule type="containsText" dxfId="777" priority="76" operator="containsText" text="AB">
      <formula>NOT(ISERROR(SEARCH("AB",I51)))</formula>
    </cfRule>
  </conditionalFormatting>
  <conditionalFormatting sqref="I51">
    <cfRule type="containsText" dxfId="776" priority="74" operator="containsText" text="AB">
      <formula>NOT(ISERROR(SEARCH("AB",I51)))</formula>
    </cfRule>
    <cfRule type="containsText" dxfId="775" priority="75" operator="containsText" text="AB">
      <formula>NOT(ISERROR(SEARCH("AB",I51)))</formula>
    </cfRule>
  </conditionalFormatting>
  <conditionalFormatting sqref="I51">
    <cfRule type="containsText" dxfId="774" priority="73" operator="containsText" text="AB">
      <formula>NOT(ISERROR(SEARCH("AB",I51)))</formula>
    </cfRule>
  </conditionalFormatting>
  <conditionalFormatting sqref="I50">
    <cfRule type="containsText" dxfId="773" priority="72" operator="containsText" text="AB">
      <formula>NOT(ISERROR(SEARCH("AB",I50)))</formula>
    </cfRule>
  </conditionalFormatting>
  <conditionalFormatting sqref="I50">
    <cfRule type="containsText" dxfId="772" priority="70" operator="containsText" text="AB">
      <formula>NOT(ISERROR(SEARCH("AB",I50)))</formula>
    </cfRule>
    <cfRule type="containsText" dxfId="771" priority="71" operator="containsText" text="AB">
      <formula>NOT(ISERROR(SEARCH("AB",I50)))</formula>
    </cfRule>
  </conditionalFormatting>
  <conditionalFormatting sqref="N51">
    <cfRule type="containsText" dxfId="770" priority="69" operator="containsText" text="AB">
      <formula>NOT(ISERROR(SEARCH("AB",N51)))</formula>
    </cfRule>
  </conditionalFormatting>
  <conditionalFormatting sqref="N51">
    <cfRule type="containsText" dxfId="769" priority="67" operator="containsText" text="AB">
      <formula>NOT(ISERROR(SEARCH("AB",N51)))</formula>
    </cfRule>
    <cfRule type="containsText" dxfId="768" priority="68" operator="containsText" text="AB">
      <formula>NOT(ISERROR(SEARCH("AB",N51)))</formula>
    </cfRule>
  </conditionalFormatting>
  <conditionalFormatting sqref="N51">
    <cfRule type="containsText" dxfId="767" priority="66" operator="containsText" text="AB">
      <formula>NOT(ISERROR(SEARCH("AB",N51)))</formula>
    </cfRule>
  </conditionalFormatting>
  <conditionalFormatting sqref="N50">
    <cfRule type="containsText" dxfId="766" priority="65" operator="containsText" text="AB">
      <formula>NOT(ISERROR(SEARCH("AB",N50)))</formula>
    </cfRule>
  </conditionalFormatting>
  <conditionalFormatting sqref="N50">
    <cfRule type="containsText" dxfId="765" priority="63" operator="containsText" text="AB">
      <formula>NOT(ISERROR(SEARCH("AB",N50)))</formula>
    </cfRule>
    <cfRule type="containsText" dxfId="764" priority="64" operator="containsText" text="AB">
      <formula>NOT(ISERROR(SEARCH("AB",N50)))</formula>
    </cfRule>
  </conditionalFormatting>
  <conditionalFormatting sqref="O51">
    <cfRule type="containsText" dxfId="763" priority="62" operator="containsText" text="AB">
      <formula>NOT(ISERROR(SEARCH("AB",O51)))</formula>
    </cfRule>
  </conditionalFormatting>
  <conditionalFormatting sqref="O51">
    <cfRule type="containsText" dxfId="762" priority="60" operator="containsText" text="AB">
      <formula>NOT(ISERROR(SEARCH("AB",O51)))</formula>
    </cfRule>
    <cfRule type="containsText" dxfId="761" priority="61" operator="containsText" text="AB">
      <formula>NOT(ISERROR(SEARCH("AB",O51)))</formula>
    </cfRule>
  </conditionalFormatting>
  <conditionalFormatting sqref="O51">
    <cfRule type="containsText" dxfId="760" priority="59" operator="containsText" text="AB">
      <formula>NOT(ISERROR(SEARCH("AB",O51)))</formula>
    </cfRule>
  </conditionalFormatting>
  <conditionalFormatting sqref="O50">
    <cfRule type="containsText" dxfId="759" priority="58" operator="containsText" text="AB">
      <formula>NOT(ISERROR(SEARCH("AB",O50)))</formula>
    </cfRule>
  </conditionalFormatting>
  <conditionalFormatting sqref="O50">
    <cfRule type="containsText" dxfId="758" priority="56" operator="containsText" text="AB">
      <formula>NOT(ISERROR(SEARCH("AB",O50)))</formula>
    </cfRule>
    <cfRule type="containsText" dxfId="757" priority="57" operator="containsText" text="AB">
      <formula>NOT(ISERROR(SEARCH("AB",O50)))</formula>
    </cfRule>
  </conditionalFormatting>
  <conditionalFormatting sqref="V51">
    <cfRule type="containsText" dxfId="756" priority="55" operator="containsText" text="AB">
      <formula>NOT(ISERROR(SEARCH("AB",V51)))</formula>
    </cfRule>
  </conditionalFormatting>
  <conditionalFormatting sqref="V51">
    <cfRule type="containsText" dxfId="755" priority="53" operator="containsText" text="AB">
      <formula>NOT(ISERROR(SEARCH("AB",V51)))</formula>
    </cfRule>
    <cfRule type="containsText" dxfId="754" priority="54" operator="containsText" text="AB">
      <formula>NOT(ISERROR(SEARCH("AB",V51)))</formula>
    </cfRule>
  </conditionalFormatting>
  <conditionalFormatting sqref="V51">
    <cfRule type="containsText" dxfId="753" priority="52" operator="containsText" text="AB">
      <formula>NOT(ISERROR(SEARCH("AB",V51)))</formula>
    </cfRule>
  </conditionalFormatting>
  <conditionalFormatting sqref="V50">
    <cfRule type="containsText" dxfId="752" priority="51" operator="containsText" text="AB">
      <formula>NOT(ISERROR(SEARCH("AB",V50)))</formula>
    </cfRule>
  </conditionalFormatting>
  <conditionalFormatting sqref="V50">
    <cfRule type="containsText" dxfId="751" priority="49" operator="containsText" text="AB">
      <formula>NOT(ISERROR(SEARCH("AB",V50)))</formula>
    </cfRule>
    <cfRule type="containsText" dxfId="750" priority="50" operator="containsText" text="AB">
      <formula>NOT(ISERROR(SEARCH("AB",V50)))</formula>
    </cfRule>
  </conditionalFormatting>
  <conditionalFormatting sqref="AB51">
    <cfRule type="containsText" dxfId="749" priority="48" operator="containsText" text="AB">
      <formula>NOT(ISERROR(SEARCH("AB",AB51)))</formula>
    </cfRule>
  </conditionalFormatting>
  <conditionalFormatting sqref="AB51">
    <cfRule type="containsText" dxfId="748" priority="46" operator="containsText" text="AB">
      <formula>NOT(ISERROR(SEARCH("AB",AB51)))</formula>
    </cfRule>
    <cfRule type="containsText" dxfId="747" priority="47" operator="containsText" text="AB">
      <formula>NOT(ISERROR(SEARCH("AB",AB51)))</formula>
    </cfRule>
  </conditionalFormatting>
  <conditionalFormatting sqref="AB51">
    <cfRule type="containsText" dxfId="746" priority="45" operator="containsText" text="AB">
      <formula>NOT(ISERROR(SEARCH("AB",AB51)))</formula>
    </cfRule>
  </conditionalFormatting>
  <conditionalFormatting sqref="AB50">
    <cfRule type="containsText" dxfId="745" priority="44" operator="containsText" text="AB">
      <formula>NOT(ISERROR(SEARCH("AB",AB50)))</formula>
    </cfRule>
  </conditionalFormatting>
  <conditionalFormatting sqref="AB50">
    <cfRule type="containsText" dxfId="744" priority="42" operator="containsText" text="AB">
      <formula>NOT(ISERROR(SEARCH("AB",AB50)))</formula>
    </cfRule>
    <cfRule type="containsText" dxfId="743" priority="43" operator="containsText" text="AB">
      <formula>NOT(ISERROR(SEARCH("AB",AB50)))</formula>
    </cfRule>
  </conditionalFormatting>
  <conditionalFormatting sqref="AE51:AF51">
    <cfRule type="containsText" dxfId="742" priority="41" operator="containsText" text="AB">
      <formula>NOT(ISERROR(SEARCH("AB",AE51)))</formula>
    </cfRule>
  </conditionalFormatting>
  <conditionalFormatting sqref="AE51:AF51">
    <cfRule type="containsText" dxfId="741" priority="39" operator="containsText" text="AB">
      <formula>NOT(ISERROR(SEARCH("AB",AE51)))</formula>
    </cfRule>
    <cfRule type="containsText" dxfId="740" priority="40" operator="containsText" text="AB">
      <formula>NOT(ISERROR(SEARCH("AB",AE51)))</formula>
    </cfRule>
  </conditionalFormatting>
  <conditionalFormatting sqref="AE51:AF51">
    <cfRule type="containsText" dxfId="739" priority="38" operator="containsText" text="AB">
      <formula>NOT(ISERROR(SEARCH("AB",AE51)))</formula>
    </cfRule>
  </conditionalFormatting>
  <conditionalFormatting sqref="AE50:AF50">
    <cfRule type="containsText" dxfId="738" priority="37" operator="containsText" text="AB">
      <formula>NOT(ISERROR(SEARCH("AB",AE50)))</formula>
    </cfRule>
  </conditionalFormatting>
  <conditionalFormatting sqref="AE50:AF50">
    <cfRule type="containsText" dxfId="737" priority="35" operator="containsText" text="AB">
      <formula>NOT(ISERROR(SEARCH("AB",AE50)))</formula>
    </cfRule>
    <cfRule type="containsText" dxfId="736" priority="36" operator="containsText" text="AB">
      <formula>NOT(ISERROR(SEARCH("AB",AE50)))</formula>
    </cfRule>
  </conditionalFormatting>
  <conditionalFormatting sqref="AF54">
    <cfRule type="containsText" dxfId="735" priority="34" operator="containsText" text="AB">
      <formula>NOT(ISERROR(SEARCH("AB",AF54)))</formula>
    </cfRule>
  </conditionalFormatting>
  <conditionalFormatting sqref="AF54">
    <cfRule type="containsText" dxfId="734" priority="32" operator="containsText" text="AB">
      <formula>NOT(ISERROR(SEARCH("AB",AF54)))</formula>
    </cfRule>
    <cfRule type="containsText" dxfId="733" priority="33" operator="containsText" text="AB">
      <formula>NOT(ISERROR(SEARCH("AB",AF54)))</formula>
    </cfRule>
  </conditionalFormatting>
  <conditionalFormatting sqref="AF54">
    <cfRule type="containsText" dxfId="732" priority="31" operator="containsText" text="AB">
      <formula>NOT(ISERROR(SEARCH("AB",AF54)))</formula>
    </cfRule>
  </conditionalFormatting>
  <conditionalFormatting sqref="AF53">
    <cfRule type="containsText" dxfId="731" priority="30" operator="containsText" text="AB">
      <formula>NOT(ISERROR(SEARCH("AB",AF53)))</formula>
    </cfRule>
  </conditionalFormatting>
  <conditionalFormatting sqref="AF53">
    <cfRule type="containsText" dxfId="730" priority="28" operator="containsText" text="AB">
      <formula>NOT(ISERROR(SEARCH("AB",AF53)))</formula>
    </cfRule>
    <cfRule type="containsText" dxfId="729" priority="29" operator="containsText" text="AB">
      <formula>NOT(ISERROR(SEARCH("AB",AF53)))</formula>
    </cfRule>
  </conditionalFormatting>
  <conditionalFormatting sqref="AB54">
    <cfRule type="containsText" dxfId="728" priority="27" operator="containsText" text="AB">
      <formula>NOT(ISERROR(SEARCH("AB",AB54)))</formula>
    </cfRule>
  </conditionalFormatting>
  <conditionalFormatting sqref="AB54">
    <cfRule type="containsText" dxfId="727" priority="25" operator="containsText" text="AB">
      <formula>NOT(ISERROR(SEARCH("AB",AB54)))</formula>
    </cfRule>
    <cfRule type="containsText" dxfId="726" priority="26" operator="containsText" text="AB">
      <formula>NOT(ISERROR(SEARCH("AB",AB54)))</formula>
    </cfRule>
  </conditionalFormatting>
  <conditionalFormatting sqref="AB54">
    <cfRule type="containsText" dxfId="725" priority="24" operator="containsText" text="AB">
      <formula>NOT(ISERROR(SEARCH("AB",AB54)))</formula>
    </cfRule>
  </conditionalFormatting>
  <conditionalFormatting sqref="AB53">
    <cfRule type="containsText" dxfId="724" priority="23" operator="containsText" text="AB">
      <formula>NOT(ISERROR(SEARCH("AB",AB53)))</formula>
    </cfRule>
  </conditionalFormatting>
  <conditionalFormatting sqref="AB53">
    <cfRule type="containsText" dxfId="723" priority="21" operator="containsText" text="AB">
      <formula>NOT(ISERROR(SEARCH("AB",AB53)))</formula>
    </cfRule>
    <cfRule type="containsText" dxfId="722" priority="22" operator="containsText" text="AB">
      <formula>NOT(ISERROR(SEARCH("AB",AB53)))</formula>
    </cfRule>
  </conditionalFormatting>
  <conditionalFormatting sqref="AB62">
    <cfRule type="containsText" dxfId="721" priority="20" operator="containsText" text="AB">
      <formula>NOT(ISERROR(SEARCH("AB",AB62)))</formula>
    </cfRule>
  </conditionalFormatting>
  <conditionalFormatting sqref="AB62">
    <cfRule type="containsText" dxfId="720" priority="18" operator="containsText" text="AB">
      <formula>NOT(ISERROR(SEARCH("AB",AB62)))</formula>
    </cfRule>
    <cfRule type="containsText" dxfId="719" priority="19" operator="containsText" text="AB">
      <formula>NOT(ISERROR(SEARCH("AB",AB62)))</formula>
    </cfRule>
  </conditionalFormatting>
  <conditionalFormatting sqref="AB62">
    <cfRule type="containsText" dxfId="718" priority="17" operator="containsText" text="AB">
      <formula>NOT(ISERROR(SEARCH("AB",AB62)))</formula>
    </cfRule>
  </conditionalFormatting>
  <conditionalFormatting sqref="AB61">
    <cfRule type="containsText" dxfId="717" priority="16" operator="containsText" text="AB">
      <formula>NOT(ISERROR(SEARCH("AB",AB61)))</formula>
    </cfRule>
  </conditionalFormatting>
  <conditionalFormatting sqref="AB61">
    <cfRule type="containsText" dxfId="716" priority="14" operator="containsText" text="AB">
      <formula>NOT(ISERROR(SEARCH("AB",AB61)))</formula>
    </cfRule>
    <cfRule type="containsText" dxfId="715" priority="15" operator="containsText" text="AB">
      <formula>NOT(ISERROR(SEARCH("AB",AB61)))</formula>
    </cfRule>
  </conditionalFormatting>
  <conditionalFormatting sqref="AF62">
    <cfRule type="containsText" dxfId="714" priority="13" operator="containsText" text="AB">
      <formula>NOT(ISERROR(SEARCH("AB",AF62)))</formula>
    </cfRule>
  </conditionalFormatting>
  <conditionalFormatting sqref="AF62">
    <cfRule type="containsText" dxfId="713" priority="11" operator="containsText" text="AB">
      <formula>NOT(ISERROR(SEARCH("AB",AF62)))</formula>
    </cfRule>
    <cfRule type="containsText" dxfId="712" priority="12" operator="containsText" text="AB">
      <formula>NOT(ISERROR(SEARCH("AB",AF62)))</formula>
    </cfRule>
  </conditionalFormatting>
  <conditionalFormatting sqref="AF62">
    <cfRule type="containsText" dxfId="711" priority="10" operator="containsText" text="AB">
      <formula>NOT(ISERROR(SEARCH("AB",AF62)))</formula>
    </cfRule>
  </conditionalFormatting>
  <conditionalFormatting sqref="AF61">
    <cfRule type="containsText" dxfId="710" priority="9" operator="containsText" text="AB">
      <formula>NOT(ISERROR(SEARCH("AB",AF61)))</formula>
    </cfRule>
  </conditionalFormatting>
  <conditionalFormatting sqref="AF61">
    <cfRule type="containsText" dxfId="709" priority="7" operator="containsText" text="AB">
      <formula>NOT(ISERROR(SEARCH("AB",AF61)))</formula>
    </cfRule>
    <cfRule type="containsText" dxfId="708" priority="8" operator="containsText" text="AB">
      <formula>NOT(ISERROR(SEARCH("AB",AF61)))</formula>
    </cfRule>
  </conditionalFormatting>
  <conditionalFormatting sqref="N67:AF68">
    <cfRule type="containsText" dxfId="707" priority="6" operator="containsText" text="AB">
      <formula>NOT(ISERROR(SEARCH("AB",N67)))</formula>
    </cfRule>
  </conditionalFormatting>
  <conditionalFormatting sqref="N67:AF68">
    <cfRule type="containsText" dxfId="706" priority="4" operator="containsText" text="AB">
      <formula>NOT(ISERROR(SEARCH("AB",N67)))</formula>
    </cfRule>
    <cfRule type="containsText" dxfId="705" priority="5" operator="containsText" text="AB">
      <formula>NOT(ISERROR(SEARCH("AB",N67)))</formula>
    </cfRule>
  </conditionalFormatting>
  <conditionalFormatting sqref="I67:I68">
    <cfRule type="containsText" dxfId="704" priority="3" operator="containsText" text="AB">
      <formula>NOT(ISERROR(SEARCH("AB",I67)))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4BF6-042B-438A-9B83-D7EEB94502EB}">
  <dimension ref="A1:AU75"/>
  <sheetViews>
    <sheetView zoomScale="70" zoomScaleNormal="70" workbookViewId="0">
      <pane ySplit="4" topLeftCell="A20" activePane="bottomLeft" state="frozen"/>
      <selection pane="bottomLeft" activeCell="AO8" sqref="AO8:AO10"/>
    </sheetView>
  </sheetViews>
  <sheetFormatPr defaultRowHeight="15" x14ac:dyDescent="0.25"/>
  <cols>
    <col min="1" max="1" width="6.28515625" customWidth="1"/>
    <col min="2" max="2" width="24.140625" style="32" customWidth="1"/>
    <col min="3" max="3" width="9" hidden="1" customWidth="1"/>
    <col min="4" max="4" width="8" hidden="1" customWidth="1"/>
    <col min="5" max="33" width="4.85546875" hidden="1" customWidth="1"/>
    <col min="34" max="34" width="10" customWidth="1"/>
    <col min="35" max="35" width="9.7109375" customWidth="1"/>
    <col min="36" max="36" width="6.140625" style="17" customWidth="1"/>
    <col min="37" max="37" width="7.5703125" customWidth="1"/>
    <col min="38" max="38" width="6.28515625" customWidth="1"/>
    <col min="39" max="39" width="7.28515625" customWidth="1"/>
    <col min="40" max="40" width="6.7109375" customWidth="1"/>
    <col min="41" max="41" width="8.140625" customWidth="1"/>
    <col min="42" max="42" width="8.5703125" customWidth="1"/>
    <col min="43" max="43" width="8.85546875" style="50" customWidth="1"/>
    <col min="44" max="44" width="8.140625" style="50" customWidth="1"/>
    <col min="45" max="45" width="12.7109375" customWidth="1"/>
  </cols>
  <sheetData>
    <row r="1" spans="1:47" ht="28.5" x14ac:dyDescent="0.25">
      <c r="A1" s="142" t="s">
        <v>40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4"/>
      <c r="AK1" s="39"/>
      <c r="AL1" s="40"/>
      <c r="AM1" s="40"/>
      <c r="AN1" s="40"/>
      <c r="AO1" s="40"/>
      <c r="AP1" s="40"/>
      <c r="AQ1" s="48"/>
      <c r="AR1" s="48"/>
      <c r="AS1" s="41"/>
    </row>
    <row r="2" spans="1:47" ht="21.75" x14ac:dyDescent="0.25">
      <c r="A2" s="148" t="s">
        <v>60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50"/>
      <c r="AK2" s="42" t="s">
        <v>47</v>
      </c>
      <c r="AL2" s="42"/>
      <c r="AM2" s="42"/>
      <c r="AN2" s="42"/>
      <c r="AO2" s="42" t="s">
        <v>48</v>
      </c>
      <c r="AP2" s="42"/>
      <c r="AQ2" s="49"/>
      <c r="AR2" s="49"/>
      <c r="AS2" s="43"/>
    </row>
    <row r="3" spans="1:47" ht="27" customHeight="1" x14ac:dyDescent="0.25">
      <c r="A3" s="153" t="s">
        <v>2</v>
      </c>
      <c r="B3" s="174" t="s">
        <v>1</v>
      </c>
      <c r="C3" s="155" t="s">
        <v>105</v>
      </c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6" t="s">
        <v>53</v>
      </c>
      <c r="AI3" s="157" t="s">
        <v>54</v>
      </c>
      <c r="AJ3" s="157" t="s">
        <v>0</v>
      </c>
      <c r="AK3" s="157" t="s">
        <v>42</v>
      </c>
      <c r="AL3" s="157" t="s">
        <v>43</v>
      </c>
      <c r="AM3" s="157" t="s">
        <v>44</v>
      </c>
      <c r="AN3" s="157" t="s">
        <v>45</v>
      </c>
      <c r="AO3" s="157" t="s">
        <v>46</v>
      </c>
      <c r="AP3" s="157" t="s">
        <v>55</v>
      </c>
      <c r="AQ3" s="37" t="s">
        <v>59</v>
      </c>
      <c r="AR3" s="37" t="s">
        <v>57</v>
      </c>
      <c r="AS3" s="44" t="s">
        <v>58</v>
      </c>
    </row>
    <row r="4" spans="1:47" ht="27" customHeight="1" x14ac:dyDescent="0.25">
      <c r="A4" s="153"/>
      <c r="B4" s="175"/>
      <c r="C4" s="25">
        <v>1</v>
      </c>
      <c r="D4" s="53">
        <v>2</v>
      </c>
      <c r="E4" s="53">
        <v>3</v>
      </c>
      <c r="F4" s="53">
        <v>4</v>
      </c>
      <c r="G4" s="54">
        <v>5</v>
      </c>
      <c r="H4" s="53">
        <v>6</v>
      </c>
      <c r="I4" s="53">
        <v>7</v>
      </c>
      <c r="J4" s="25">
        <v>8</v>
      </c>
      <c r="K4" s="53">
        <v>9</v>
      </c>
      <c r="L4" s="53">
        <v>10</v>
      </c>
      <c r="M4" s="53">
        <v>11</v>
      </c>
      <c r="N4" s="54">
        <v>12</v>
      </c>
      <c r="O4" s="53">
        <v>13</v>
      </c>
      <c r="P4" s="53">
        <v>14</v>
      </c>
      <c r="Q4" s="25">
        <v>15</v>
      </c>
      <c r="R4" s="53">
        <v>16</v>
      </c>
      <c r="S4" s="53">
        <v>17</v>
      </c>
      <c r="T4" s="53">
        <v>18</v>
      </c>
      <c r="U4" s="54">
        <v>19</v>
      </c>
      <c r="V4" s="53">
        <v>20</v>
      </c>
      <c r="W4" s="53">
        <v>21</v>
      </c>
      <c r="X4" s="25">
        <v>22</v>
      </c>
      <c r="Y4" s="53">
        <v>23</v>
      </c>
      <c r="Z4" s="53">
        <v>24</v>
      </c>
      <c r="AA4" s="53">
        <v>25</v>
      </c>
      <c r="AB4" s="54">
        <v>26</v>
      </c>
      <c r="AC4" s="53">
        <v>27</v>
      </c>
      <c r="AD4" s="53">
        <v>28</v>
      </c>
      <c r="AE4" s="25">
        <v>29</v>
      </c>
      <c r="AF4" s="53">
        <v>30</v>
      </c>
      <c r="AG4" s="53">
        <v>31</v>
      </c>
      <c r="AH4" s="156"/>
      <c r="AI4" s="158"/>
      <c r="AJ4" s="158"/>
      <c r="AK4" s="158"/>
      <c r="AL4" s="158"/>
      <c r="AM4" s="158"/>
      <c r="AN4" s="158"/>
      <c r="AO4" s="158"/>
      <c r="AP4" s="158"/>
      <c r="AQ4" s="38"/>
      <c r="AR4" s="38"/>
      <c r="AS4" s="45"/>
    </row>
    <row r="5" spans="1:47" x14ac:dyDescent="0.25">
      <c r="A5" s="131">
        <v>1</v>
      </c>
      <c r="B5" s="182" t="s">
        <v>61</v>
      </c>
      <c r="C5" s="1" t="s">
        <v>41</v>
      </c>
      <c r="D5" s="1" t="s">
        <v>41</v>
      </c>
      <c r="E5" s="1" t="s">
        <v>41</v>
      </c>
      <c r="F5" s="1" t="s">
        <v>41</v>
      </c>
      <c r="G5" s="1" t="s">
        <v>41</v>
      </c>
      <c r="H5" s="1" t="s">
        <v>41</v>
      </c>
      <c r="I5" s="1" t="s">
        <v>41</v>
      </c>
      <c r="J5" s="1" t="s">
        <v>41</v>
      </c>
      <c r="K5" s="1" t="s">
        <v>41</v>
      </c>
      <c r="L5" s="1" t="s">
        <v>41</v>
      </c>
      <c r="M5" s="1" t="s">
        <v>41</v>
      </c>
      <c r="N5" s="1" t="s">
        <v>52</v>
      </c>
      <c r="O5" s="1" t="s">
        <v>52</v>
      </c>
      <c r="P5" s="1" t="s">
        <v>52</v>
      </c>
      <c r="Q5" s="1" t="s">
        <v>41</v>
      </c>
      <c r="R5" s="1" t="s">
        <v>52</v>
      </c>
      <c r="S5" s="1" t="s">
        <v>52</v>
      </c>
      <c r="T5" s="1" t="s">
        <v>52</v>
      </c>
      <c r="U5" s="1" t="s">
        <v>52</v>
      </c>
      <c r="V5" s="1" t="s">
        <v>52</v>
      </c>
      <c r="W5" s="1" t="s">
        <v>52</v>
      </c>
      <c r="X5" s="1" t="s">
        <v>52</v>
      </c>
      <c r="Y5" s="1" t="s">
        <v>52</v>
      </c>
      <c r="Z5" s="1" t="s">
        <v>52</v>
      </c>
      <c r="AA5" s="1" t="s">
        <v>52</v>
      </c>
      <c r="AB5" s="1" t="s">
        <v>52</v>
      </c>
      <c r="AC5" s="1" t="s">
        <v>52</v>
      </c>
      <c r="AD5" s="1" t="s">
        <v>52</v>
      </c>
      <c r="AE5" s="1" t="s">
        <v>52</v>
      </c>
      <c r="AF5" s="1" t="s">
        <v>52</v>
      </c>
      <c r="AG5" s="1" t="s">
        <v>52</v>
      </c>
      <c r="AH5" s="134">
        <f>COUNTIF(C5:AG5,"P")</f>
        <v>12</v>
      </c>
      <c r="AI5" s="134">
        <f>COUNTIF(D5:AH5,"P/2")</f>
        <v>0</v>
      </c>
      <c r="AJ5" s="179">
        <f>SUM(C6:AG6)</f>
        <v>27</v>
      </c>
      <c r="AK5" s="171">
        <f>COUNTIF(C7:AG7,"BAAS")</f>
        <v>0</v>
      </c>
      <c r="AL5" s="171">
        <f>COUNTIF(D7:AH7,"BAAS")</f>
        <v>0</v>
      </c>
      <c r="AM5" s="171">
        <f>COUNTIF(E7:AI7,"BAAS")</f>
        <v>0</v>
      </c>
      <c r="AN5" s="171">
        <f>COUNTIF(F7:AJ7,"BAAS")</f>
        <v>0</v>
      </c>
      <c r="AO5" s="171">
        <v>900</v>
      </c>
      <c r="AP5" s="139">
        <f>AO5*AI5/2</f>
        <v>0</v>
      </c>
      <c r="AQ5" s="171">
        <f>AH5*AO5+AP5</f>
        <v>10800</v>
      </c>
      <c r="AR5" s="168">
        <f>AJ5/8*AO5</f>
        <v>3037.5</v>
      </c>
      <c r="AS5" s="165">
        <f>AQ5+AR5</f>
        <v>13837.5</v>
      </c>
    </row>
    <row r="6" spans="1:47" x14ac:dyDescent="0.25">
      <c r="A6" s="132"/>
      <c r="B6" s="183"/>
      <c r="C6" s="13"/>
      <c r="D6" s="13">
        <v>2</v>
      </c>
      <c r="E6" s="13">
        <v>2</v>
      </c>
      <c r="F6" s="13">
        <v>4</v>
      </c>
      <c r="G6" s="13">
        <v>1</v>
      </c>
      <c r="H6" s="13">
        <v>2</v>
      </c>
      <c r="I6" s="13">
        <v>5</v>
      </c>
      <c r="J6" s="13">
        <v>6</v>
      </c>
      <c r="K6" s="13">
        <v>1</v>
      </c>
      <c r="L6" s="13">
        <v>4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5"/>
      <c r="AI6" s="135"/>
      <c r="AJ6" s="180"/>
      <c r="AK6" s="172"/>
      <c r="AL6" s="172"/>
      <c r="AM6" s="172"/>
      <c r="AN6" s="172"/>
      <c r="AO6" s="172"/>
      <c r="AP6" s="140"/>
      <c r="AQ6" s="172"/>
      <c r="AR6" s="169"/>
      <c r="AS6" s="166"/>
      <c r="AT6">
        <v>30</v>
      </c>
    </row>
    <row r="7" spans="1:47" x14ac:dyDescent="0.25">
      <c r="A7" s="133"/>
      <c r="B7" s="184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36"/>
      <c r="AI7" s="136"/>
      <c r="AJ7" s="181"/>
      <c r="AK7" s="173"/>
      <c r="AL7" s="173"/>
      <c r="AM7" s="173"/>
      <c r="AN7" s="173"/>
      <c r="AO7" s="173"/>
      <c r="AP7" s="141"/>
      <c r="AQ7" s="173"/>
      <c r="AR7" s="170"/>
      <c r="AS7" s="167"/>
    </row>
    <row r="8" spans="1:47" x14ac:dyDescent="0.25">
      <c r="A8" s="131">
        <v>2</v>
      </c>
      <c r="B8" s="182" t="s">
        <v>66</v>
      </c>
      <c r="C8" s="1" t="s">
        <v>41</v>
      </c>
      <c r="D8" s="1" t="s">
        <v>41</v>
      </c>
      <c r="E8" s="1" t="s">
        <v>41</v>
      </c>
      <c r="F8" s="1" t="s">
        <v>41</v>
      </c>
      <c r="G8" s="1" t="s">
        <v>41</v>
      </c>
      <c r="H8" s="1" t="s">
        <v>41</v>
      </c>
      <c r="I8" s="1" t="s">
        <v>41</v>
      </c>
      <c r="J8" s="1" t="s">
        <v>41</v>
      </c>
      <c r="K8" s="1" t="s">
        <v>41</v>
      </c>
      <c r="L8" s="1" t="s">
        <v>41</v>
      </c>
      <c r="M8" s="1" t="s">
        <v>41</v>
      </c>
      <c r="N8" s="1" t="s">
        <v>41</v>
      </c>
      <c r="O8" s="1" t="s">
        <v>41</v>
      </c>
      <c r="P8" s="1" t="s">
        <v>41</v>
      </c>
      <c r="Q8" s="1" t="s">
        <v>41</v>
      </c>
      <c r="R8" s="1" t="s">
        <v>41</v>
      </c>
      <c r="S8" s="1" t="s">
        <v>41</v>
      </c>
      <c r="T8" s="1" t="s">
        <v>52</v>
      </c>
      <c r="U8" s="1" t="s">
        <v>52</v>
      </c>
      <c r="V8" s="1" t="s">
        <v>52</v>
      </c>
      <c r="W8" s="1" t="s">
        <v>41</v>
      </c>
      <c r="X8" s="1" t="s">
        <v>52</v>
      </c>
      <c r="Y8" s="1" t="s">
        <v>52</v>
      </c>
      <c r="Z8" s="1" t="s">
        <v>52</v>
      </c>
      <c r="AA8" s="1" t="s">
        <v>52</v>
      </c>
      <c r="AB8" s="1" t="s">
        <v>41</v>
      </c>
      <c r="AC8" s="1" t="s">
        <v>41</v>
      </c>
      <c r="AD8" s="1" t="s">
        <v>52</v>
      </c>
      <c r="AE8" s="1" t="s">
        <v>52</v>
      </c>
      <c r="AF8" s="1" t="s">
        <v>52</v>
      </c>
      <c r="AG8" s="1" t="s">
        <v>52</v>
      </c>
      <c r="AH8" s="134">
        <f>COUNTIF(C8:AG8,"P")</f>
        <v>20</v>
      </c>
      <c r="AI8" s="134">
        <f>COUNTIF(D8:AH8,"P/2")</f>
        <v>0</v>
      </c>
      <c r="AJ8" s="14"/>
      <c r="AK8" s="171">
        <f>COUNTIF(C10:AG10,"BAAS")</f>
        <v>0</v>
      </c>
      <c r="AL8" s="171">
        <f>COUNTIF(D10:AH10,"RCML")</f>
        <v>0</v>
      </c>
      <c r="AM8" s="171">
        <f>COUNTIF(E10:AJ10,"PRE")</f>
        <v>0</v>
      </c>
      <c r="AN8" s="171">
        <f>COUNTIF(F10:AK10,"BAKR")</f>
        <v>0</v>
      </c>
      <c r="AO8" s="171">
        <v>800</v>
      </c>
      <c r="AP8" s="171">
        <f>AO8*AI8/2</f>
        <v>0</v>
      </c>
      <c r="AQ8" s="171">
        <f>AH8*AO8+AP8</f>
        <v>16000</v>
      </c>
      <c r="AR8" s="168">
        <f>AJ9/8*AO8</f>
        <v>4300</v>
      </c>
      <c r="AS8" s="171">
        <f>AQ8+AR8</f>
        <v>20300</v>
      </c>
      <c r="AU8" s="46"/>
    </row>
    <row r="9" spans="1:47" x14ac:dyDescent="0.25">
      <c r="A9" s="132"/>
      <c r="B9" s="183"/>
      <c r="C9" s="13">
        <v>2</v>
      </c>
      <c r="D9" s="13">
        <v>2</v>
      </c>
      <c r="E9" s="13">
        <v>2</v>
      </c>
      <c r="F9" s="13">
        <v>2</v>
      </c>
      <c r="G9" s="9">
        <v>2</v>
      </c>
      <c r="H9" s="9"/>
      <c r="I9" s="9">
        <v>2</v>
      </c>
      <c r="J9" s="9"/>
      <c r="K9" s="9">
        <v>4</v>
      </c>
      <c r="L9" s="9">
        <v>5</v>
      </c>
      <c r="M9" s="9">
        <v>5</v>
      </c>
      <c r="N9" s="9">
        <v>4</v>
      </c>
      <c r="O9" s="9">
        <v>4</v>
      </c>
      <c r="P9" s="9">
        <v>3</v>
      </c>
      <c r="Q9" s="9">
        <v>4</v>
      </c>
      <c r="R9" s="9"/>
      <c r="S9" s="9"/>
      <c r="T9" s="9"/>
      <c r="U9" s="9"/>
      <c r="V9" s="9"/>
      <c r="W9" s="9">
        <v>2</v>
      </c>
      <c r="X9" s="9"/>
      <c r="Y9" s="9"/>
      <c r="Z9" s="9"/>
      <c r="AA9" s="9"/>
      <c r="AB9" s="9"/>
      <c r="AC9" s="9"/>
      <c r="AD9" s="9"/>
      <c r="AE9" s="9"/>
      <c r="AF9" s="9"/>
      <c r="AG9" s="9"/>
      <c r="AH9" s="135"/>
      <c r="AI9" s="135"/>
      <c r="AJ9" s="15">
        <f>SUM(C9:AG9)</f>
        <v>43</v>
      </c>
      <c r="AK9" s="172"/>
      <c r="AL9" s="172"/>
      <c r="AM9" s="172"/>
      <c r="AN9" s="172"/>
      <c r="AO9" s="172"/>
      <c r="AP9" s="172"/>
      <c r="AQ9" s="172"/>
      <c r="AR9" s="169"/>
      <c r="AS9" s="172"/>
      <c r="AU9" s="46"/>
    </row>
    <row r="10" spans="1:47" x14ac:dyDescent="0.25">
      <c r="A10" s="133"/>
      <c r="B10" s="184"/>
      <c r="C10" s="9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36"/>
      <c r="AI10" s="136"/>
      <c r="AJ10" s="16"/>
      <c r="AK10" s="173"/>
      <c r="AL10" s="173"/>
      <c r="AM10" s="173"/>
      <c r="AN10" s="173"/>
      <c r="AO10" s="173"/>
      <c r="AP10" s="173"/>
      <c r="AQ10" s="173"/>
      <c r="AR10" s="170"/>
      <c r="AS10" s="173"/>
      <c r="AU10" s="46"/>
    </row>
    <row r="11" spans="1:47" x14ac:dyDescent="0.25">
      <c r="A11" s="131">
        <v>3</v>
      </c>
      <c r="B11" s="182" t="s">
        <v>65</v>
      </c>
      <c r="C11" s="1" t="s">
        <v>41</v>
      </c>
      <c r="D11" s="1" t="s">
        <v>41</v>
      </c>
      <c r="E11" s="1" t="s">
        <v>41</v>
      </c>
      <c r="F11" s="1" t="s">
        <v>41</v>
      </c>
      <c r="G11" s="1" t="s">
        <v>41</v>
      </c>
      <c r="H11" s="1" t="s">
        <v>41</v>
      </c>
      <c r="I11" s="1" t="s">
        <v>41</v>
      </c>
      <c r="J11" s="1" t="s">
        <v>41</v>
      </c>
      <c r="K11" s="1" t="s">
        <v>41</v>
      </c>
      <c r="L11" s="1" t="s">
        <v>41</v>
      </c>
      <c r="M11" s="1" t="s">
        <v>41</v>
      </c>
      <c r="N11" s="1" t="s">
        <v>52</v>
      </c>
      <c r="O11" s="1" t="s">
        <v>41</v>
      </c>
      <c r="P11" s="1" t="s">
        <v>41</v>
      </c>
      <c r="Q11" s="1" t="s">
        <v>41</v>
      </c>
      <c r="R11" s="1" t="s">
        <v>41</v>
      </c>
      <c r="S11" s="1" t="s">
        <v>56</v>
      </c>
      <c r="T11" s="1" t="s">
        <v>56</v>
      </c>
      <c r="U11" s="1" t="s">
        <v>52</v>
      </c>
      <c r="V11" s="1" t="s">
        <v>41</v>
      </c>
      <c r="W11" s="1" t="s">
        <v>41</v>
      </c>
      <c r="X11" s="1" t="s">
        <v>41</v>
      </c>
      <c r="Y11" s="1" t="s">
        <v>41</v>
      </c>
      <c r="Z11" s="1" t="s">
        <v>52</v>
      </c>
      <c r="AA11" s="1" t="s">
        <v>41</v>
      </c>
      <c r="AB11" s="1" t="s">
        <v>52</v>
      </c>
      <c r="AC11" s="1" t="s">
        <v>52</v>
      </c>
      <c r="AD11" s="1" t="s">
        <v>52</v>
      </c>
      <c r="AE11" s="1" t="s">
        <v>52</v>
      </c>
      <c r="AF11" s="1" t="s">
        <v>52</v>
      </c>
      <c r="AG11" s="1" t="s">
        <v>52</v>
      </c>
      <c r="AH11" s="134">
        <f>COUNTIF(C11:AG11,"P")</f>
        <v>20</v>
      </c>
      <c r="AI11" s="134">
        <f>COUNTIF(D11:AH11,"P/2")</f>
        <v>2</v>
      </c>
      <c r="AJ11" s="14"/>
      <c r="AK11" s="171">
        <f>COUNTIF(C13:AG13,"BAAS")</f>
        <v>0</v>
      </c>
      <c r="AL11" s="171">
        <f>COUNTIF(D13:AH13,"RCML")</f>
        <v>0</v>
      </c>
      <c r="AM11" s="171">
        <f>COUNTIF(E13:AJ13,"PRE")</f>
        <v>0</v>
      </c>
      <c r="AN11" s="171">
        <f>COUNTIF(F13:AK13,"BAKR")</f>
        <v>0</v>
      </c>
      <c r="AO11" s="171">
        <v>700</v>
      </c>
      <c r="AP11" s="171">
        <f>AO11*AI11/2</f>
        <v>700</v>
      </c>
      <c r="AQ11" s="171">
        <f>AH11*AO11+AP11</f>
        <v>14700</v>
      </c>
      <c r="AR11" s="168">
        <f>AJ12/8*AO11</f>
        <v>2800</v>
      </c>
      <c r="AS11" s="168">
        <f>AQ11+AR11</f>
        <v>17500</v>
      </c>
      <c r="AU11" s="46"/>
    </row>
    <row r="12" spans="1:47" x14ac:dyDescent="0.25">
      <c r="A12" s="132"/>
      <c r="B12" s="183"/>
      <c r="C12" s="13"/>
      <c r="D12" s="13"/>
      <c r="E12" s="9">
        <v>1</v>
      </c>
      <c r="F12" s="9">
        <v>4</v>
      </c>
      <c r="G12" s="9">
        <v>3</v>
      </c>
      <c r="H12" s="9">
        <v>2</v>
      </c>
      <c r="I12" s="9">
        <v>3</v>
      </c>
      <c r="J12" s="9">
        <v>4</v>
      </c>
      <c r="K12" s="9">
        <v>1</v>
      </c>
      <c r="L12" s="9">
        <v>4</v>
      </c>
      <c r="M12" s="9"/>
      <c r="N12" s="9"/>
      <c r="O12" s="9">
        <v>2</v>
      </c>
      <c r="P12" s="9">
        <v>1</v>
      </c>
      <c r="Q12" s="9">
        <v>1</v>
      </c>
      <c r="R12" s="9">
        <v>1</v>
      </c>
      <c r="S12" s="9"/>
      <c r="T12" s="9"/>
      <c r="U12" s="9"/>
      <c r="V12" s="9">
        <v>4</v>
      </c>
      <c r="W12" s="9">
        <v>1</v>
      </c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35"/>
      <c r="AI12" s="135"/>
      <c r="AJ12" s="15">
        <f>SUM(C12:AG12)</f>
        <v>32</v>
      </c>
      <c r="AK12" s="172"/>
      <c r="AL12" s="172"/>
      <c r="AM12" s="172"/>
      <c r="AN12" s="172"/>
      <c r="AO12" s="172"/>
      <c r="AP12" s="172"/>
      <c r="AQ12" s="172"/>
      <c r="AR12" s="169"/>
      <c r="AS12" s="169"/>
      <c r="AU12" s="46"/>
    </row>
    <row r="13" spans="1:47" x14ac:dyDescent="0.25">
      <c r="A13" s="133"/>
      <c r="B13" s="184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36"/>
      <c r="AI13" s="136"/>
      <c r="AJ13" s="16"/>
      <c r="AK13" s="173"/>
      <c r="AL13" s="173"/>
      <c r="AM13" s="173"/>
      <c r="AN13" s="173"/>
      <c r="AO13" s="173"/>
      <c r="AP13" s="173"/>
      <c r="AQ13" s="173"/>
      <c r="AR13" s="170"/>
      <c r="AS13" s="170"/>
      <c r="AU13" s="46"/>
    </row>
    <row r="14" spans="1:47" x14ac:dyDescent="0.25">
      <c r="A14" s="131">
        <v>4</v>
      </c>
      <c r="B14" s="185" t="s">
        <v>69</v>
      </c>
      <c r="C14" s="1" t="s">
        <v>41</v>
      </c>
      <c r="D14" s="1" t="s">
        <v>52</v>
      </c>
      <c r="E14" s="1" t="s">
        <v>41</v>
      </c>
      <c r="F14" s="1" t="s">
        <v>41</v>
      </c>
      <c r="G14" s="1" t="s">
        <v>41</v>
      </c>
      <c r="H14" s="1" t="s">
        <v>41</v>
      </c>
      <c r="I14" s="1" t="s">
        <v>41</v>
      </c>
      <c r="J14" s="1" t="s">
        <v>41</v>
      </c>
      <c r="K14" s="1" t="s">
        <v>41</v>
      </c>
      <c r="L14" s="1" t="s">
        <v>41</v>
      </c>
      <c r="M14" s="1" t="s">
        <v>41</v>
      </c>
      <c r="N14" s="1" t="s">
        <v>52</v>
      </c>
      <c r="O14" s="1" t="s">
        <v>41</v>
      </c>
      <c r="P14" s="1" t="s">
        <v>41</v>
      </c>
      <c r="Q14" s="1" t="s">
        <v>41</v>
      </c>
      <c r="R14" s="1" t="s">
        <v>52</v>
      </c>
      <c r="S14" s="1" t="s">
        <v>52</v>
      </c>
      <c r="T14" s="1" t="s">
        <v>56</v>
      </c>
      <c r="U14" s="1" t="s">
        <v>41</v>
      </c>
      <c r="V14" s="1" t="s">
        <v>41</v>
      </c>
      <c r="W14" s="1" t="s">
        <v>41</v>
      </c>
      <c r="X14" s="1" t="s">
        <v>41</v>
      </c>
      <c r="Y14" s="1" t="s">
        <v>41</v>
      </c>
      <c r="Z14" s="1" t="s">
        <v>41</v>
      </c>
      <c r="AA14" s="1" t="s">
        <v>41</v>
      </c>
      <c r="AB14" s="1" t="s">
        <v>41</v>
      </c>
      <c r="AC14" s="1" t="s">
        <v>52</v>
      </c>
      <c r="AD14" s="1" t="s">
        <v>52</v>
      </c>
      <c r="AE14" s="1" t="s">
        <v>52</v>
      </c>
      <c r="AF14" s="1" t="s">
        <v>52</v>
      </c>
      <c r="AG14" s="1" t="s">
        <v>41</v>
      </c>
      <c r="AH14" s="134">
        <f>COUNTIF(C14:AG14,"P")</f>
        <v>22</v>
      </c>
      <c r="AI14" s="134">
        <f>COUNTIF(D14:AH14,"P/2")</f>
        <v>1</v>
      </c>
      <c r="AJ14" s="15"/>
      <c r="AK14" s="171">
        <f>COUNTIF(C16:AG16,"BAAS")</f>
        <v>0</v>
      </c>
      <c r="AL14" s="171">
        <f>COUNTIF(D16:AH16,"RCML")</f>
        <v>0</v>
      </c>
      <c r="AM14" s="171">
        <f>COUNTIF(E16:AJ16,"PRE")</f>
        <v>0</v>
      </c>
      <c r="AN14" s="171">
        <f>COUNTIF(F16:AK16,"BAKR")</f>
        <v>0</v>
      </c>
      <c r="AO14" s="171">
        <v>700</v>
      </c>
      <c r="AP14" s="171">
        <f>AO14*AI14/2</f>
        <v>350</v>
      </c>
      <c r="AQ14" s="171">
        <f>AH14*AO14+AP14</f>
        <v>15750</v>
      </c>
      <c r="AR14" s="168">
        <f>AJ15/8*AO14</f>
        <v>4812.5</v>
      </c>
      <c r="AS14" s="168">
        <f t="shared" ref="AS14:AS20" si="0">AQ14+AR14</f>
        <v>20562.5</v>
      </c>
      <c r="AT14">
        <v>59</v>
      </c>
      <c r="AU14" s="46"/>
    </row>
    <row r="15" spans="1:47" x14ac:dyDescent="0.25">
      <c r="A15" s="132"/>
      <c r="B15" s="186"/>
      <c r="C15" s="13"/>
      <c r="D15" s="13"/>
      <c r="E15" s="9">
        <v>3</v>
      </c>
      <c r="F15" s="9">
        <v>5</v>
      </c>
      <c r="G15" s="9">
        <v>4</v>
      </c>
      <c r="H15" s="9">
        <v>4</v>
      </c>
      <c r="I15" s="9">
        <v>6</v>
      </c>
      <c r="J15" s="9">
        <v>3</v>
      </c>
      <c r="K15" s="9"/>
      <c r="L15" s="9">
        <v>5</v>
      </c>
      <c r="M15" s="13"/>
      <c r="N15" s="13"/>
      <c r="O15" s="13">
        <v>2</v>
      </c>
      <c r="P15" s="13">
        <v>5</v>
      </c>
      <c r="Q15" s="9"/>
      <c r="R15" s="9"/>
      <c r="S15" s="9"/>
      <c r="T15" s="9"/>
      <c r="U15" s="9">
        <v>2</v>
      </c>
      <c r="V15" s="9">
        <v>1</v>
      </c>
      <c r="W15" s="9">
        <v>4</v>
      </c>
      <c r="X15" s="13">
        <v>1</v>
      </c>
      <c r="Y15" s="9">
        <v>3</v>
      </c>
      <c r="Z15" s="9">
        <v>3</v>
      </c>
      <c r="AA15" s="9"/>
      <c r="AB15" s="13"/>
      <c r="AC15" s="9"/>
      <c r="AD15" s="9"/>
      <c r="AE15" s="9"/>
      <c r="AF15" s="13"/>
      <c r="AG15" s="9">
        <v>4</v>
      </c>
      <c r="AH15" s="135"/>
      <c r="AI15" s="135"/>
      <c r="AJ15" s="15">
        <f>SUM(C15:AG15)</f>
        <v>55</v>
      </c>
      <c r="AK15" s="172"/>
      <c r="AL15" s="172"/>
      <c r="AM15" s="172"/>
      <c r="AN15" s="172"/>
      <c r="AO15" s="172"/>
      <c r="AP15" s="172"/>
      <c r="AQ15" s="172"/>
      <c r="AR15" s="169"/>
      <c r="AS15" s="169"/>
      <c r="AU15" s="46"/>
    </row>
    <row r="16" spans="1:47" x14ac:dyDescent="0.25">
      <c r="A16" s="133"/>
      <c r="B16" s="187"/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36"/>
      <c r="AI16" s="136"/>
      <c r="AJ16" s="16"/>
      <c r="AK16" s="173"/>
      <c r="AL16" s="173"/>
      <c r="AM16" s="173"/>
      <c r="AN16" s="173"/>
      <c r="AO16" s="173"/>
      <c r="AP16" s="173"/>
      <c r="AQ16" s="173"/>
      <c r="AR16" s="170"/>
      <c r="AS16" s="170"/>
      <c r="AU16" s="46"/>
    </row>
    <row r="17" spans="1:47" x14ac:dyDescent="0.25">
      <c r="A17" s="131">
        <v>5</v>
      </c>
      <c r="B17" s="182" t="s">
        <v>70</v>
      </c>
      <c r="C17" s="1" t="s">
        <v>41</v>
      </c>
      <c r="D17" s="1" t="s">
        <v>41</v>
      </c>
      <c r="E17" s="1" t="s">
        <v>41</v>
      </c>
      <c r="F17" s="1" t="s">
        <v>41</v>
      </c>
      <c r="G17" s="1" t="s">
        <v>52</v>
      </c>
      <c r="H17" s="1" t="s">
        <v>52</v>
      </c>
      <c r="I17" s="1" t="s">
        <v>52</v>
      </c>
      <c r="J17" s="1" t="s">
        <v>52</v>
      </c>
      <c r="K17" s="1" t="s">
        <v>52</v>
      </c>
      <c r="L17" s="1" t="s">
        <v>52</v>
      </c>
      <c r="M17" s="1" t="s">
        <v>52</v>
      </c>
      <c r="N17" s="1" t="s">
        <v>52</v>
      </c>
      <c r="O17" s="1" t="s">
        <v>52</v>
      </c>
      <c r="P17" s="1" t="s">
        <v>52</v>
      </c>
      <c r="Q17" s="1" t="s">
        <v>52</v>
      </c>
      <c r="R17" s="1" t="s">
        <v>52</v>
      </c>
      <c r="S17" s="1" t="s">
        <v>52</v>
      </c>
      <c r="T17" s="1" t="s">
        <v>52</v>
      </c>
      <c r="U17" s="1" t="s">
        <v>52</v>
      </c>
      <c r="V17" s="1" t="s">
        <v>52</v>
      </c>
      <c r="W17" s="1" t="s">
        <v>52</v>
      </c>
      <c r="X17" s="1" t="s">
        <v>52</v>
      </c>
      <c r="Y17" s="1" t="s">
        <v>52</v>
      </c>
      <c r="Z17" s="1" t="s">
        <v>52</v>
      </c>
      <c r="AA17" s="1" t="s">
        <v>52</v>
      </c>
      <c r="AB17" s="1" t="s">
        <v>52</v>
      </c>
      <c r="AC17" s="1" t="s">
        <v>52</v>
      </c>
      <c r="AD17" s="1" t="s">
        <v>52</v>
      </c>
      <c r="AE17" s="1" t="s">
        <v>52</v>
      </c>
      <c r="AF17" s="1" t="s">
        <v>52</v>
      </c>
      <c r="AG17" s="1" t="s">
        <v>52</v>
      </c>
      <c r="AH17" s="134">
        <f>COUNTIF(C17:AG17,"P")</f>
        <v>4</v>
      </c>
      <c r="AI17" s="134">
        <f>COUNTIF(D17:AH17,"P/2")</f>
        <v>0</v>
      </c>
      <c r="AJ17" s="15"/>
      <c r="AK17" s="171">
        <f>COUNTIF(C19:AG19,"BAAS")</f>
        <v>0</v>
      </c>
      <c r="AL17" s="171">
        <f>COUNTIF(D19:AH19,"RCML")</f>
        <v>0</v>
      </c>
      <c r="AM17" s="171">
        <f>COUNTIF(E19:AJ19,"PRE")</f>
        <v>0</v>
      </c>
      <c r="AN17" s="171">
        <f>COUNTIF(F19:AK19,"BAKR")</f>
        <v>0</v>
      </c>
      <c r="AO17" s="171">
        <v>600</v>
      </c>
      <c r="AP17" s="171">
        <f>AO17*AI17/2</f>
        <v>0</v>
      </c>
      <c r="AQ17" s="171">
        <f>AH17*AO17+AP17</f>
        <v>2400</v>
      </c>
      <c r="AR17" s="168">
        <f>AJ18/8*AO17</f>
        <v>225</v>
      </c>
      <c r="AS17" s="168">
        <f t="shared" si="0"/>
        <v>2625</v>
      </c>
      <c r="AU17" s="46"/>
    </row>
    <row r="18" spans="1:47" x14ac:dyDescent="0.25">
      <c r="A18" s="132"/>
      <c r="B18" s="183"/>
      <c r="C18" s="13"/>
      <c r="D18" s="13">
        <v>1</v>
      </c>
      <c r="E18" s="9">
        <v>1</v>
      </c>
      <c r="F18" s="9">
        <v>1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135"/>
      <c r="AI18" s="135"/>
      <c r="AJ18" s="27">
        <f>SUM(C18:AG18)</f>
        <v>3</v>
      </c>
      <c r="AK18" s="172"/>
      <c r="AL18" s="172"/>
      <c r="AM18" s="172"/>
      <c r="AN18" s="172"/>
      <c r="AO18" s="172"/>
      <c r="AP18" s="172"/>
      <c r="AQ18" s="172"/>
      <c r="AR18" s="169"/>
      <c r="AS18" s="169"/>
      <c r="AU18" s="46"/>
    </row>
    <row r="19" spans="1:47" x14ac:dyDescent="0.25">
      <c r="A19" s="133"/>
      <c r="B19" s="184"/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36"/>
      <c r="AI19" s="136"/>
      <c r="AJ19" s="16"/>
      <c r="AK19" s="173"/>
      <c r="AL19" s="173"/>
      <c r="AM19" s="173"/>
      <c r="AN19" s="173"/>
      <c r="AO19" s="173"/>
      <c r="AP19" s="173"/>
      <c r="AQ19" s="173"/>
      <c r="AR19" s="170"/>
      <c r="AS19" s="170"/>
      <c r="AU19" s="46"/>
    </row>
    <row r="20" spans="1:47" x14ac:dyDescent="0.25">
      <c r="A20" s="131">
        <v>6</v>
      </c>
      <c r="B20" s="182" t="s">
        <v>72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41</v>
      </c>
      <c r="W20" s="1" t="s">
        <v>41</v>
      </c>
      <c r="X20" s="1" t="s">
        <v>52</v>
      </c>
      <c r="Y20" s="1" t="s">
        <v>41</v>
      </c>
      <c r="Z20" s="1" t="s">
        <v>41</v>
      </c>
      <c r="AA20" s="1" t="s">
        <v>41</v>
      </c>
      <c r="AB20" s="1" t="s">
        <v>41</v>
      </c>
      <c r="AC20" s="1" t="s">
        <v>41</v>
      </c>
      <c r="AD20" s="1" t="s">
        <v>52</v>
      </c>
      <c r="AE20" s="1" t="s">
        <v>52</v>
      </c>
      <c r="AF20" s="1" t="s">
        <v>41</v>
      </c>
      <c r="AG20" s="1" t="s">
        <v>41</v>
      </c>
      <c r="AH20" s="134">
        <f>COUNTIF(C20:AG20,"P")</f>
        <v>9</v>
      </c>
      <c r="AI20" s="134">
        <f>COUNTIF(D20:AH20,"P/2")</f>
        <v>0</v>
      </c>
      <c r="AJ20" s="15"/>
      <c r="AK20" s="171">
        <f>COUNTIF(C22:AG22,"BAAS")</f>
        <v>0</v>
      </c>
      <c r="AL20" s="171">
        <f>COUNTIF(D22:AH22,"RCML")</f>
        <v>0</v>
      </c>
      <c r="AM20" s="171">
        <f>COUNTIF(E22:AJ22,"PRE")</f>
        <v>0</v>
      </c>
      <c r="AN20" s="171">
        <f>COUNTIF(F22:AK22,"BAKR")</f>
        <v>0</v>
      </c>
      <c r="AO20" s="171">
        <v>700</v>
      </c>
      <c r="AP20" s="171">
        <f>AO20*AI20/2</f>
        <v>0</v>
      </c>
      <c r="AQ20" s="171">
        <f>AH20*AO20+AP20</f>
        <v>6300</v>
      </c>
      <c r="AR20" s="168">
        <f>AJ21/8*AO20</f>
        <v>1837.5</v>
      </c>
      <c r="AS20" s="168">
        <f t="shared" si="0"/>
        <v>8137.5</v>
      </c>
      <c r="AU20" s="46"/>
    </row>
    <row r="21" spans="1:47" x14ac:dyDescent="0.25">
      <c r="A21" s="132"/>
      <c r="B21" s="183"/>
      <c r="C21" s="13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>
        <v>3</v>
      </c>
      <c r="W21" s="9">
        <v>2</v>
      </c>
      <c r="X21" s="9"/>
      <c r="Y21" s="9">
        <v>2</v>
      </c>
      <c r="Z21" s="9">
        <v>2</v>
      </c>
      <c r="AA21" s="9">
        <v>2</v>
      </c>
      <c r="AB21" s="9">
        <v>3</v>
      </c>
      <c r="AC21" s="9"/>
      <c r="AD21" s="9"/>
      <c r="AE21" s="9"/>
      <c r="AF21" s="9">
        <v>4</v>
      </c>
      <c r="AG21" s="9">
        <v>3</v>
      </c>
      <c r="AH21" s="135"/>
      <c r="AI21" s="135"/>
      <c r="AJ21" s="15">
        <f>SUM(C21:AG21)</f>
        <v>21</v>
      </c>
      <c r="AK21" s="172"/>
      <c r="AL21" s="172"/>
      <c r="AM21" s="172"/>
      <c r="AN21" s="172"/>
      <c r="AO21" s="172"/>
      <c r="AP21" s="172"/>
      <c r="AQ21" s="172"/>
      <c r="AR21" s="169"/>
      <c r="AS21" s="169"/>
      <c r="AU21" s="46"/>
    </row>
    <row r="22" spans="1:47" x14ac:dyDescent="0.25">
      <c r="A22" s="133"/>
      <c r="B22" s="184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36"/>
      <c r="AI22" s="136"/>
      <c r="AJ22" s="16"/>
      <c r="AK22" s="173"/>
      <c r="AL22" s="173"/>
      <c r="AM22" s="173"/>
      <c r="AN22" s="173"/>
      <c r="AO22" s="173"/>
      <c r="AP22" s="173"/>
      <c r="AQ22" s="173"/>
      <c r="AR22" s="170"/>
      <c r="AS22" s="170"/>
      <c r="AU22" s="46"/>
    </row>
    <row r="23" spans="1:47" x14ac:dyDescent="0.25">
      <c r="A23" s="131">
        <v>7</v>
      </c>
      <c r="B23" s="182" t="s">
        <v>97</v>
      </c>
      <c r="C23" s="1" t="s">
        <v>41</v>
      </c>
      <c r="D23" s="1" t="s">
        <v>41</v>
      </c>
      <c r="E23" s="1" t="s">
        <v>41</v>
      </c>
      <c r="F23" s="1" t="s">
        <v>41</v>
      </c>
      <c r="G23" s="1" t="s">
        <v>41</v>
      </c>
      <c r="H23" s="1" t="s">
        <v>41</v>
      </c>
      <c r="I23" s="1" t="s">
        <v>41</v>
      </c>
      <c r="J23" s="1" t="s">
        <v>41</v>
      </c>
      <c r="K23" s="1" t="s">
        <v>52</v>
      </c>
      <c r="L23" s="1" t="s">
        <v>41</v>
      </c>
      <c r="M23" s="1" t="s">
        <v>41</v>
      </c>
      <c r="N23" s="1" t="s">
        <v>52</v>
      </c>
      <c r="O23" s="1" t="s">
        <v>41</v>
      </c>
      <c r="P23" s="1" t="s">
        <v>41</v>
      </c>
      <c r="Q23" s="1" t="s">
        <v>41</v>
      </c>
      <c r="R23" s="1" t="s">
        <v>41</v>
      </c>
      <c r="S23" s="1" t="s">
        <v>41</v>
      </c>
      <c r="T23" s="1" t="s">
        <v>56</v>
      </c>
      <c r="U23" s="1" t="s">
        <v>41</v>
      </c>
      <c r="V23" s="1" t="s">
        <v>41</v>
      </c>
      <c r="W23" s="1" t="s">
        <v>41</v>
      </c>
      <c r="X23" s="1" t="s">
        <v>41</v>
      </c>
      <c r="Y23" s="1" t="s">
        <v>41</v>
      </c>
      <c r="Z23" s="1" t="s">
        <v>41</v>
      </c>
      <c r="AA23" s="1" t="s">
        <v>41</v>
      </c>
      <c r="AB23" s="1" t="s">
        <v>41</v>
      </c>
      <c r="AC23" s="1" t="s">
        <v>41</v>
      </c>
      <c r="AD23" s="1" t="s">
        <v>41</v>
      </c>
      <c r="AE23" s="1" t="s">
        <v>41</v>
      </c>
      <c r="AF23" s="1" t="s">
        <v>52</v>
      </c>
      <c r="AG23" s="1" t="s">
        <v>41</v>
      </c>
      <c r="AH23" s="134">
        <f>COUNTIF(C23:AG23,"P")</f>
        <v>27</v>
      </c>
      <c r="AI23" s="134">
        <f>COUNTIF(D23:AH23,"P/2")</f>
        <v>1</v>
      </c>
      <c r="AJ23" s="15"/>
      <c r="AK23" s="171">
        <f>COUNTIF(C25:AG25,"BAAS")</f>
        <v>0</v>
      </c>
      <c r="AL23" s="171">
        <f>COUNTIF(D25:AH25,"RCML")</f>
        <v>0</v>
      </c>
      <c r="AM23" s="171">
        <f>COUNTIF(E25:AJ25,"PRE")</f>
        <v>0</v>
      </c>
      <c r="AN23" s="171">
        <f>COUNTIF(F25:AK25,"BAKR")</f>
        <v>0</v>
      </c>
      <c r="AO23" s="171">
        <v>800</v>
      </c>
      <c r="AP23" s="171">
        <f>AO23*AI23/2</f>
        <v>400</v>
      </c>
      <c r="AQ23" s="171">
        <f>AH23*AO23+AP23</f>
        <v>22000</v>
      </c>
      <c r="AR23" s="168">
        <f>AJ24/8*AO23</f>
        <v>8000</v>
      </c>
      <c r="AS23" s="168">
        <f>AQ23+AR23</f>
        <v>30000</v>
      </c>
      <c r="AU23" s="46"/>
    </row>
    <row r="24" spans="1:47" x14ac:dyDescent="0.25">
      <c r="A24" s="132"/>
      <c r="B24" s="183"/>
      <c r="C24" s="13"/>
      <c r="D24" s="13">
        <v>1</v>
      </c>
      <c r="E24" s="9">
        <v>2</v>
      </c>
      <c r="F24" s="9">
        <v>4</v>
      </c>
      <c r="G24" s="9">
        <v>3</v>
      </c>
      <c r="H24" s="9">
        <v>4</v>
      </c>
      <c r="I24" s="9">
        <v>5</v>
      </c>
      <c r="J24" s="9">
        <v>5</v>
      </c>
      <c r="K24" s="9"/>
      <c r="L24" s="9">
        <v>4</v>
      </c>
      <c r="M24" s="9"/>
      <c r="N24" s="9"/>
      <c r="O24" s="9">
        <v>2</v>
      </c>
      <c r="P24" s="9">
        <v>5</v>
      </c>
      <c r="Q24" s="9">
        <v>1</v>
      </c>
      <c r="R24" s="9">
        <v>2</v>
      </c>
      <c r="S24" s="9">
        <v>3</v>
      </c>
      <c r="T24" s="9"/>
      <c r="U24" s="9">
        <v>3</v>
      </c>
      <c r="V24" s="9">
        <v>1</v>
      </c>
      <c r="W24" s="9">
        <v>5</v>
      </c>
      <c r="X24" s="9">
        <v>4</v>
      </c>
      <c r="Y24" s="9">
        <v>3</v>
      </c>
      <c r="Z24" s="9">
        <v>3</v>
      </c>
      <c r="AA24" s="9"/>
      <c r="AB24" s="9">
        <v>3</v>
      </c>
      <c r="AC24" s="9">
        <v>5</v>
      </c>
      <c r="AD24" s="9">
        <v>4</v>
      </c>
      <c r="AE24" s="9">
        <v>4</v>
      </c>
      <c r="AF24" s="9"/>
      <c r="AG24" s="9">
        <v>4</v>
      </c>
      <c r="AH24" s="135"/>
      <c r="AI24" s="135"/>
      <c r="AJ24" s="15">
        <f>SUM(C24:AG24)</f>
        <v>80</v>
      </c>
      <c r="AK24" s="172"/>
      <c r="AL24" s="172"/>
      <c r="AM24" s="172"/>
      <c r="AN24" s="172"/>
      <c r="AO24" s="172"/>
      <c r="AP24" s="172"/>
      <c r="AQ24" s="172"/>
      <c r="AR24" s="169"/>
      <c r="AS24" s="169"/>
      <c r="AU24" s="46"/>
    </row>
    <row r="25" spans="1:47" x14ac:dyDescent="0.25">
      <c r="A25" s="133"/>
      <c r="B25" s="184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36"/>
      <c r="AI25" s="136"/>
      <c r="AJ25" s="16"/>
      <c r="AK25" s="173"/>
      <c r="AL25" s="173"/>
      <c r="AM25" s="173"/>
      <c r="AN25" s="173"/>
      <c r="AO25" s="173"/>
      <c r="AP25" s="173"/>
      <c r="AQ25" s="173"/>
      <c r="AR25" s="170"/>
      <c r="AS25" s="170"/>
      <c r="AU25" s="46"/>
    </row>
    <row r="26" spans="1:47" x14ac:dyDescent="0.25">
      <c r="A26" s="131">
        <v>8</v>
      </c>
      <c r="B26" s="182" t="s">
        <v>101</v>
      </c>
      <c r="C26" s="1" t="s">
        <v>41</v>
      </c>
      <c r="D26" s="1" t="s">
        <v>41</v>
      </c>
      <c r="E26" s="1" t="s">
        <v>41</v>
      </c>
      <c r="F26" s="1" t="s">
        <v>41</v>
      </c>
      <c r="G26" s="1" t="s">
        <v>41</v>
      </c>
      <c r="H26" s="1" t="s">
        <v>41</v>
      </c>
      <c r="I26" s="1" t="s">
        <v>41</v>
      </c>
      <c r="J26" s="1" t="s">
        <v>41</v>
      </c>
      <c r="K26" s="1" t="s">
        <v>41</v>
      </c>
      <c r="L26" s="1" t="s">
        <v>41</v>
      </c>
      <c r="M26" s="1" t="s">
        <v>52</v>
      </c>
      <c r="N26" s="1" t="s">
        <v>52</v>
      </c>
      <c r="O26" s="1" t="s">
        <v>41</v>
      </c>
      <c r="P26" s="1" t="s">
        <v>41</v>
      </c>
      <c r="Q26" s="1" t="s">
        <v>41</v>
      </c>
      <c r="R26" s="1" t="s">
        <v>41</v>
      </c>
      <c r="S26" s="1" t="s">
        <v>41</v>
      </c>
      <c r="T26" s="1" t="s">
        <v>56</v>
      </c>
      <c r="U26" s="1" t="s">
        <v>52</v>
      </c>
      <c r="V26" s="1" t="s">
        <v>41</v>
      </c>
      <c r="W26" s="1" t="s">
        <v>41</v>
      </c>
      <c r="X26" s="1" t="s">
        <v>41</v>
      </c>
      <c r="Y26" s="1" t="s">
        <v>41</v>
      </c>
      <c r="Z26" s="1" t="s">
        <v>52</v>
      </c>
      <c r="AA26" s="1" t="s">
        <v>41</v>
      </c>
      <c r="AB26" s="1" t="s">
        <v>41</v>
      </c>
      <c r="AC26" s="1" t="s">
        <v>41</v>
      </c>
      <c r="AD26" s="1" t="s">
        <v>41</v>
      </c>
      <c r="AE26" s="1" t="s">
        <v>52</v>
      </c>
      <c r="AF26" s="1" t="s">
        <v>52</v>
      </c>
      <c r="AG26" s="1" t="s">
        <v>41</v>
      </c>
      <c r="AH26" s="134">
        <f>COUNTIF(C26:AG26,"P")</f>
        <v>24</v>
      </c>
      <c r="AI26" s="134">
        <f>COUNTIF(D26:AH26,"P/2")</f>
        <v>1</v>
      </c>
      <c r="AJ26" s="15"/>
      <c r="AK26" s="171">
        <f>COUNTIF(C28:AG28,"BAAS")</f>
        <v>0</v>
      </c>
      <c r="AL26" s="171">
        <f>COUNTIF(D28:AH28,"RCML")</f>
        <v>0</v>
      </c>
      <c r="AM26" s="171">
        <f>COUNTIF(E28:AJ28,"PRE")</f>
        <v>0</v>
      </c>
      <c r="AN26" s="171">
        <f>COUNTIF(F28:AK28,"BAKR")</f>
        <v>0</v>
      </c>
      <c r="AO26" s="171">
        <v>700</v>
      </c>
      <c r="AP26" s="171">
        <f>AO26*AI26/2</f>
        <v>350</v>
      </c>
      <c r="AQ26" s="171">
        <f>AH26*AO26+AP26</f>
        <v>17150</v>
      </c>
      <c r="AR26" s="168">
        <f>AJ27/8*AO26</f>
        <v>5075</v>
      </c>
      <c r="AS26" s="168">
        <f>AQ26+AR26</f>
        <v>22225</v>
      </c>
      <c r="AU26" s="46"/>
    </row>
    <row r="27" spans="1:47" x14ac:dyDescent="0.25">
      <c r="A27" s="132"/>
      <c r="B27" s="183"/>
      <c r="C27" s="13"/>
      <c r="D27" s="13">
        <v>1</v>
      </c>
      <c r="E27" s="9">
        <v>2</v>
      </c>
      <c r="F27" s="9">
        <v>4</v>
      </c>
      <c r="G27" s="9">
        <v>3</v>
      </c>
      <c r="H27" s="9">
        <v>2</v>
      </c>
      <c r="I27" s="9">
        <v>3</v>
      </c>
      <c r="J27" s="9">
        <v>4</v>
      </c>
      <c r="K27" s="9">
        <v>1</v>
      </c>
      <c r="L27" s="9">
        <v>4</v>
      </c>
      <c r="M27" s="9"/>
      <c r="N27" s="9"/>
      <c r="O27" s="9">
        <v>2</v>
      </c>
      <c r="P27" s="9">
        <v>4</v>
      </c>
      <c r="Q27" s="9">
        <v>3</v>
      </c>
      <c r="R27" s="9"/>
      <c r="S27" s="9">
        <v>4</v>
      </c>
      <c r="T27" s="9"/>
      <c r="U27" s="9"/>
      <c r="V27" s="9">
        <v>1</v>
      </c>
      <c r="W27" s="9">
        <v>4</v>
      </c>
      <c r="X27" s="9"/>
      <c r="Y27" s="9"/>
      <c r="Z27" s="9"/>
      <c r="AA27" s="9"/>
      <c r="AB27" s="9">
        <v>3</v>
      </c>
      <c r="AC27" s="9">
        <v>5</v>
      </c>
      <c r="AD27" s="9">
        <v>4</v>
      </c>
      <c r="AE27" s="9"/>
      <c r="AF27" s="9"/>
      <c r="AG27" s="9">
        <v>4</v>
      </c>
      <c r="AH27" s="135"/>
      <c r="AI27" s="135"/>
      <c r="AJ27" s="15">
        <f>SUM(C27:AG27)</f>
        <v>58</v>
      </c>
      <c r="AK27" s="172"/>
      <c r="AL27" s="172"/>
      <c r="AM27" s="172"/>
      <c r="AN27" s="172"/>
      <c r="AO27" s="172"/>
      <c r="AP27" s="172"/>
      <c r="AQ27" s="172"/>
      <c r="AR27" s="169"/>
      <c r="AS27" s="169"/>
      <c r="AU27" s="46"/>
    </row>
    <row r="28" spans="1:47" x14ac:dyDescent="0.25">
      <c r="A28" s="133"/>
      <c r="B28" s="184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36"/>
      <c r="AI28" s="136"/>
      <c r="AJ28" s="16"/>
      <c r="AK28" s="173"/>
      <c r="AL28" s="173"/>
      <c r="AM28" s="173"/>
      <c r="AN28" s="173"/>
      <c r="AO28" s="173"/>
      <c r="AP28" s="173"/>
      <c r="AQ28" s="173"/>
      <c r="AR28" s="170"/>
      <c r="AS28" s="170"/>
      <c r="AU28" s="46"/>
    </row>
    <row r="29" spans="1:47" x14ac:dyDescent="0.25">
      <c r="A29" s="131">
        <v>9</v>
      </c>
      <c r="B29" s="182" t="s">
        <v>109</v>
      </c>
      <c r="C29" s="1" t="s">
        <v>41</v>
      </c>
      <c r="D29" s="1" t="s">
        <v>41</v>
      </c>
      <c r="E29" s="1" t="s">
        <v>41</v>
      </c>
      <c r="F29" s="1" t="s">
        <v>41</v>
      </c>
      <c r="G29" s="1" t="s">
        <v>52</v>
      </c>
      <c r="H29" s="1" t="s">
        <v>41</v>
      </c>
      <c r="I29" s="1" t="s">
        <v>41</v>
      </c>
      <c r="J29" s="1" t="s">
        <v>41</v>
      </c>
      <c r="K29" s="1" t="s">
        <v>41</v>
      </c>
      <c r="L29" s="1" t="s">
        <v>41</v>
      </c>
      <c r="M29" s="1" t="s">
        <v>41</v>
      </c>
      <c r="N29" s="1" t="s">
        <v>52</v>
      </c>
      <c r="O29" s="1" t="s">
        <v>41</v>
      </c>
      <c r="P29" s="1" t="s">
        <v>41</v>
      </c>
      <c r="Q29" s="1" t="s">
        <v>41</v>
      </c>
      <c r="R29" s="1" t="s">
        <v>41</v>
      </c>
      <c r="S29" s="1" t="s">
        <v>41</v>
      </c>
      <c r="T29" s="1" t="s">
        <v>56</v>
      </c>
      <c r="U29" s="1" t="s">
        <v>41</v>
      </c>
      <c r="V29" s="1" t="s">
        <v>41</v>
      </c>
      <c r="W29" s="1" t="s">
        <v>41</v>
      </c>
      <c r="X29" s="1" t="s">
        <v>41</v>
      </c>
      <c r="Y29" s="1" t="s">
        <v>41</v>
      </c>
      <c r="Z29" s="1" t="s">
        <v>41</v>
      </c>
      <c r="AA29" s="1" t="s">
        <v>41</v>
      </c>
      <c r="AB29" s="1" t="s">
        <v>41</v>
      </c>
      <c r="AC29" s="1" t="s">
        <v>41</v>
      </c>
      <c r="AD29" s="1" t="s">
        <v>41</v>
      </c>
      <c r="AE29" s="1" t="s">
        <v>41</v>
      </c>
      <c r="AF29" s="1" t="s">
        <v>41</v>
      </c>
      <c r="AG29" s="1" t="s">
        <v>41</v>
      </c>
      <c r="AH29" s="134">
        <f>COUNTIF(C29:AG29,"P")</f>
        <v>28</v>
      </c>
      <c r="AI29" s="134">
        <f>COUNTIF(D29:AH29,"P/2")</f>
        <v>1</v>
      </c>
      <c r="AJ29" s="15"/>
      <c r="AK29" s="171">
        <f>COUNTIF(C31:AG31,"BAAS")</f>
        <v>0</v>
      </c>
      <c r="AL29" s="171">
        <f>COUNTIF(D31:AH31,"RCML")</f>
        <v>0</v>
      </c>
      <c r="AM29" s="171">
        <f>COUNTIF(E31:AJ31,"PRE")</f>
        <v>0</v>
      </c>
      <c r="AN29" s="171">
        <f>COUNTIF(F31:AK31,"BAKR")</f>
        <v>0</v>
      </c>
      <c r="AO29" s="171">
        <v>800</v>
      </c>
      <c r="AP29" s="171">
        <f>AO29*AI29/2</f>
        <v>400</v>
      </c>
      <c r="AQ29" s="171">
        <f>AH29*AO29+AP29</f>
        <v>22800</v>
      </c>
      <c r="AR29" s="168">
        <f>AJ30/8*AO29</f>
        <v>7200</v>
      </c>
      <c r="AS29" s="168">
        <f>AQ29+AR29</f>
        <v>30000</v>
      </c>
      <c r="AU29" s="46"/>
    </row>
    <row r="30" spans="1:47" x14ac:dyDescent="0.25">
      <c r="A30" s="132"/>
      <c r="B30" s="183"/>
      <c r="C30" s="13"/>
      <c r="D30" s="13">
        <v>1</v>
      </c>
      <c r="E30" s="9">
        <v>2</v>
      </c>
      <c r="F30" s="9">
        <v>4</v>
      </c>
      <c r="G30" s="9"/>
      <c r="H30" s="9">
        <v>2</v>
      </c>
      <c r="I30" s="9">
        <v>5</v>
      </c>
      <c r="J30" s="9">
        <v>4</v>
      </c>
      <c r="K30" s="9">
        <v>1</v>
      </c>
      <c r="L30" s="9">
        <v>4</v>
      </c>
      <c r="M30" s="9"/>
      <c r="N30" s="9"/>
      <c r="O30" s="9">
        <v>1</v>
      </c>
      <c r="P30" s="9">
        <v>4</v>
      </c>
      <c r="Q30" s="13">
        <v>1</v>
      </c>
      <c r="R30" s="9">
        <v>2</v>
      </c>
      <c r="S30" s="9">
        <v>4</v>
      </c>
      <c r="T30" s="9"/>
      <c r="U30" s="9">
        <v>2</v>
      </c>
      <c r="V30" s="9">
        <v>2</v>
      </c>
      <c r="W30" s="9">
        <v>5</v>
      </c>
      <c r="X30" s="9">
        <v>4</v>
      </c>
      <c r="Y30" s="9">
        <v>4</v>
      </c>
      <c r="Z30" s="9"/>
      <c r="AA30" s="9"/>
      <c r="AB30" s="9">
        <v>3</v>
      </c>
      <c r="AC30" s="13">
        <v>5</v>
      </c>
      <c r="AD30" s="13">
        <v>4</v>
      </c>
      <c r="AE30" s="13">
        <v>4</v>
      </c>
      <c r="AF30" s="13"/>
      <c r="AG30" s="9">
        <v>4</v>
      </c>
      <c r="AH30" s="135"/>
      <c r="AI30" s="135"/>
      <c r="AJ30" s="15">
        <f>SUM(C30:AG30)</f>
        <v>72</v>
      </c>
      <c r="AK30" s="172"/>
      <c r="AL30" s="172"/>
      <c r="AM30" s="172"/>
      <c r="AN30" s="172"/>
      <c r="AO30" s="172"/>
      <c r="AP30" s="172"/>
      <c r="AQ30" s="172"/>
      <c r="AR30" s="169"/>
      <c r="AS30" s="169"/>
      <c r="AU30" s="46"/>
    </row>
    <row r="31" spans="1:47" x14ac:dyDescent="0.25">
      <c r="A31" s="133"/>
      <c r="B31" s="184"/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36"/>
      <c r="AI31" s="136"/>
      <c r="AJ31" s="16"/>
      <c r="AK31" s="173"/>
      <c r="AL31" s="173"/>
      <c r="AM31" s="173"/>
      <c r="AN31" s="173"/>
      <c r="AO31" s="173"/>
      <c r="AP31" s="173"/>
      <c r="AQ31" s="173"/>
      <c r="AR31" s="170"/>
      <c r="AS31" s="170"/>
      <c r="AU31" s="46"/>
    </row>
    <row r="32" spans="1:47" x14ac:dyDescent="0.25">
      <c r="A32" s="131">
        <v>10</v>
      </c>
      <c r="B32" s="182" t="s">
        <v>100</v>
      </c>
      <c r="C32" s="1" t="s">
        <v>41</v>
      </c>
      <c r="D32" s="1" t="s">
        <v>41</v>
      </c>
      <c r="E32" s="1" t="s">
        <v>41</v>
      </c>
      <c r="F32" s="1" t="s">
        <v>41</v>
      </c>
      <c r="G32" s="1" t="s">
        <v>41</v>
      </c>
      <c r="H32" s="1" t="s">
        <v>41</v>
      </c>
      <c r="I32" s="1" t="s">
        <v>41</v>
      </c>
      <c r="J32" s="1" t="s">
        <v>41</v>
      </c>
      <c r="K32" s="1" t="s">
        <v>41</v>
      </c>
      <c r="L32" s="1" t="s">
        <v>41</v>
      </c>
      <c r="M32" s="1" t="s">
        <v>41</v>
      </c>
      <c r="N32" s="1" t="s">
        <v>52</v>
      </c>
      <c r="O32" s="1" t="s">
        <v>41</v>
      </c>
      <c r="P32" s="1" t="s">
        <v>41</v>
      </c>
      <c r="Q32" s="1" t="s">
        <v>41</v>
      </c>
      <c r="R32" s="1" t="s">
        <v>41</v>
      </c>
      <c r="S32" s="1" t="s">
        <v>41</v>
      </c>
      <c r="T32" s="1" t="s">
        <v>56</v>
      </c>
      <c r="U32" s="1" t="s">
        <v>41</v>
      </c>
      <c r="V32" s="1" t="s">
        <v>41</v>
      </c>
      <c r="W32" s="1" t="s">
        <v>41</v>
      </c>
      <c r="X32" s="1" t="s">
        <v>41</v>
      </c>
      <c r="Y32" s="1" t="s">
        <v>52</v>
      </c>
      <c r="Z32" s="1" t="s">
        <v>41</v>
      </c>
      <c r="AA32" s="1" t="s">
        <v>41</v>
      </c>
      <c r="AB32" s="1" t="s">
        <v>41</v>
      </c>
      <c r="AC32" s="1" t="s">
        <v>41</v>
      </c>
      <c r="AD32" s="1" t="s">
        <v>41</v>
      </c>
      <c r="AE32" s="1" t="s">
        <v>41</v>
      </c>
      <c r="AF32" s="1" t="s">
        <v>41</v>
      </c>
      <c r="AG32" s="1" t="s">
        <v>41</v>
      </c>
      <c r="AH32" s="134">
        <f>COUNTIF(C32:AG32,"P")</f>
        <v>28</v>
      </c>
      <c r="AI32" s="134">
        <f>COUNTIF(D32:AH32,"P/2")</f>
        <v>1</v>
      </c>
      <c r="AJ32" s="15"/>
      <c r="AK32" s="171">
        <f>COUNTIF(C34:AG34,"BAAS")</f>
        <v>0</v>
      </c>
      <c r="AL32" s="171">
        <f>COUNTIF(D34:AH34,"RCML")</f>
        <v>0</v>
      </c>
      <c r="AM32" s="171">
        <f>COUNTIF(E34:AJ34,"PRE")</f>
        <v>0</v>
      </c>
      <c r="AN32" s="171">
        <f>COUNTIF(F34:AK34,"BAKR")</f>
        <v>0</v>
      </c>
      <c r="AO32" s="171">
        <v>800</v>
      </c>
      <c r="AP32" s="171">
        <f>AO32*AI32/2</f>
        <v>400</v>
      </c>
      <c r="AQ32" s="171">
        <f>AH32*AO32+AP32</f>
        <v>22800</v>
      </c>
      <c r="AR32" s="168">
        <f>AJ33/8*AO32</f>
        <v>6200</v>
      </c>
      <c r="AS32" s="168">
        <f>AQ32+AR32</f>
        <v>29000</v>
      </c>
      <c r="AU32" s="46"/>
    </row>
    <row r="33" spans="1:47" x14ac:dyDescent="0.25">
      <c r="A33" s="132"/>
      <c r="B33" s="183"/>
      <c r="C33" s="13"/>
      <c r="D33" s="13"/>
      <c r="E33" s="9">
        <v>2</v>
      </c>
      <c r="F33" s="9">
        <v>4</v>
      </c>
      <c r="G33" s="9">
        <v>3</v>
      </c>
      <c r="H33" s="9">
        <v>2</v>
      </c>
      <c r="I33" s="9">
        <v>3</v>
      </c>
      <c r="J33" s="9">
        <v>5</v>
      </c>
      <c r="K33" s="9">
        <v>1</v>
      </c>
      <c r="L33" s="9">
        <v>4</v>
      </c>
      <c r="M33" s="9"/>
      <c r="N33" s="9"/>
      <c r="O33" s="9">
        <v>1</v>
      </c>
      <c r="P33" s="9">
        <v>4</v>
      </c>
      <c r="Q33" s="9">
        <v>3</v>
      </c>
      <c r="R33" s="9">
        <v>2</v>
      </c>
      <c r="S33" s="9">
        <v>2</v>
      </c>
      <c r="T33" s="9"/>
      <c r="U33" s="9">
        <v>3</v>
      </c>
      <c r="V33" s="9">
        <v>1</v>
      </c>
      <c r="W33" s="9"/>
      <c r="X33" s="9">
        <v>1</v>
      </c>
      <c r="Y33" s="9"/>
      <c r="Z33" s="9">
        <v>2</v>
      </c>
      <c r="AA33" s="9"/>
      <c r="AB33" s="13">
        <v>3</v>
      </c>
      <c r="AC33" s="9">
        <v>5</v>
      </c>
      <c r="AD33" s="9">
        <v>3</v>
      </c>
      <c r="AE33" s="13">
        <v>4</v>
      </c>
      <c r="AF33" s="13"/>
      <c r="AG33" s="9">
        <v>4</v>
      </c>
      <c r="AH33" s="135"/>
      <c r="AI33" s="135"/>
      <c r="AJ33" s="15">
        <f>SUM(C33:AG33)</f>
        <v>62</v>
      </c>
      <c r="AK33" s="172"/>
      <c r="AL33" s="172"/>
      <c r="AM33" s="172"/>
      <c r="AN33" s="172"/>
      <c r="AO33" s="172"/>
      <c r="AP33" s="172"/>
      <c r="AQ33" s="172"/>
      <c r="AR33" s="169"/>
      <c r="AS33" s="169"/>
      <c r="AU33" s="46"/>
    </row>
    <row r="34" spans="1:47" x14ac:dyDescent="0.25">
      <c r="A34" s="133"/>
      <c r="B34" s="184"/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36"/>
      <c r="AI34" s="136"/>
      <c r="AJ34" s="16"/>
      <c r="AK34" s="173"/>
      <c r="AL34" s="173"/>
      <c r="AM34" s="173"/>
      <c r="AN34" s="173"/>
      <c r="AO34" s="173"/>
      <c r="AP34" s="173"/>
      <c r="AQ34" s="173"/>
      <c r="AR34" s="170"/>
      <c r="AS34" s="170"/>
      <c r="AU34" s="46"/>
    </row>
    <row r="35" spans="1:47" x14ac:dyDescent="0.25">
      <c r="A35" s="131">
        <v>11</v>
      </c>
      <c r="B35" s="182" t="s">
        <v>80</v>
      </c>
      <c r="C35" s="1" t="s">
        <v>41</v>
      </c>
      <c r="D35" s="1" t="s">
        <v>52</v>
      </c>
      <c r="E35" s="1" t="s">
        <v>41</v>
      </c>
      <c r="F35" s="1" t="s">
        <v>52</v>
      </c>
      <c r="G35" s="1" t="s">
        <v>52</v>
      </c>
      <c r="H35" s="1" t="s">
        <v>52</v>
      </c>
      <c r="I35" s="1" t="s">
        <v>52</v>
      </c>
      <c r="J35" s="1" t="s">
        <v>41</v>
      </c>
      <c r="K35" s="1" t="s">
        <v>41</v>
      </c>
      <c r="L35" s="1" t="s">
        <v>41</v>
      </c>
      <c r="M35" s="1" t="s">
        <v>52</v>
      </c>
      <c r="N35" s="1" t="s">
        <v>52</v>
      </c>
      <c r="O35" s="1" t="s">
        <v>41</v>
      </c>
      <c r="P35" s="1" t="s">
        <v>41</v>
      </c>
      <c r="Q35" s="1" t="s">
        <v>41</v>
      </c>
      <c r="R35" s="1" t="s">
        <v>52</v>
      </c>
      <c r="S35" s="1" t="s">
        <v>52</v>
      </c>
      <c r="T35" s="1" t="s">
        <v>52</v>
      </c>
      <c r="U35" s="1" t="s">
        <v>52</v>
      </c>
      <c r="V35" s="1" t="s">
        <v>52</v>
      </c>
      <c r="W35" s="1" t="s">
        <v>52</v>
      </c>
      <c r="X35" s="1" t="s">
        <v>52</v>
      </c>
      <c r="Y35" s="1" t="s">
        <v>52</v>
      </c>
      <c r="Z35" s="1" t="s">
        <v>52</v>
      </c>
      <c r="AA35" s="1" t="s">
        <v>52</v>
      </c>
      <c r="AB35" s="1" t="s">
        <v>52</v>
      </c>
      <c r="AC35" s="1" t="s">
        <v>52</v>
      </c>
      <c r="AD35" s="1" t="s">
        <v>52</v>
      </c>
      <c r="AE35" s="1" t="s">
        <v>52</v>
      </c>
      <c r="AF35" s="1" t="s">
        <v>52</v>
      </c>
      <c r="AG35" s="1" t="s">
        <v>52</v>
      </c>
      <c r="AH35" s="134">
        <f>COUNTIF(C35:AG35,"P")</f>
        <v>8</v>
      </c>
      <c r="AI35" s="134">
        <f>COUNTIF(D35:AH35,"P/2")</f>
        <v>0</v>
      </c>
      <c r="AJ35" s="15"/>
      <c r="AK35" s="171">
        <f>COUNTIF(C37:AG37,"BAAS")</f>
        <v>0</v>
      </c>
      <c r="AL35" s="171">
        <f>COUNTIF(D37:AH37,"RCML")</f>
        <v>0</v>
      </c>
      <c r="AM35" s="171">
        <f>COUNTIF(E37:AJ37,"PRE")</f>
        <v>0</v>
      </c>
      <c r="AN35" s="171">
        <f>COUNTIF(F37:AK37,"BAKR")</f>
        <v>0</v>
      </c>
      <c r="AO35" s="171">
        <v>700</v>
      </c>
      <c r="AP35" s="171">
        <f>AO35*AI35/2</f>
        <v>0</v>
      </c>
      <c r="AQ35" s="171">
        <f>AH35*AO35+AP35</f>
        <v>5600</v>
      </c>
      <c r="AR35" s="168">
        <f>AJ36/8*AO35</f>
        <v>1225</v>
      </c>
      <c r="AS35" s="168">
        <f>AQ35+AR35</f>
        <v>6825</v>
      </c>
      <c r="AU35" s="46"/>
    </row>
    <row r="36" spans="1:47" x14ac:dyDescent="0.25">
      <c r="A36" s="132"/>
      <c r="B36" s="183"/>
      <c r="C36" s="13"/>
      <c r="D36" s="13"/>
      <c r="E36" s="9">
        <v>1</v>
      </c>
      <c r="F36" s="9"/>
      <c r="G36" s="9"/>
      <c r="H36" s="9"/>
      <c r="I36" s="9"/>
      <c r="J36" s="13">
        <v>3</v>
      </c>
      <c r="K36" s="9">
        <v>1</v>
      </c>
      <c r="L36" s="9">
        <v>4</v>
      </c>
      <c r="M36" s="9"/>
      <c r="N36" s="13"/>
      <c r="O36" s="13">
        <v>1</v>
      </c>
      <c r="P36" s="9">
        <v>3</v>
      </c>
      <c r="Q36" s="9">
        <v>1</v>
      </c>
      <c r="R36" s="9"/>
      <c r="S36" s="9"/>
      <c r="T36" s="9"/>
      <c r="U36" s="9"/>
      <c r="V36" s="9"/>
      <c r="W36" s="9"/>
      <c r="X36" s="9"/>
      <c r="Y36" s="9"/>
      <c r="Z36" s="9"/>
      <c r="AA36" s="13"/>
      <c r="AB36" s="13"/>
      <c r="AC36" s="13"/>
      <c r="AD36" s="13"/>
      <c r="AE36" s="9"/>
      <c r="AF36" s="13"/>
      <c r="AG36" s="9"/>
      <c r="AH36" s="135"/>
      <c r="AI36" s="135"/>
      <c r="AJ36" s="15">
        <f>SUM(C36:AG36)</f>
        <v>14</v>
      </c>
      <c r="AK36" s="172"/>
      <c r="AL36" s="172"/>
      <c r="AM36" s="172"/>
      <c r="AN36" s="172"/>
      <c r="AO36" s="172"/>
      <c r="AP36" s="172"/>
      <c r="AQ36" s="172"/>
      <c r="AR36" s="169"/>
      <c r="AS36" s="169"/>
      <c r="AU36" s="46"/>
    </row>
    <row r="37" spans="1:47" x14ac:dyDescent="0.25">
      <c r="A37" s="133"/>
      <c r="B37" s="184"/>
      <c r="C37" s="10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36"/>
      <c r="AI37" s="136"/>
      <c r="AJ37" s="16"/>
      <c r="AK37" s="173"/>
      <c r="AL37" s="173"/>
      <c r="AM37" s="173"/>
      <c r="AN37" s="173"/>
      <c r="AO37" s="173"/>
      <c r="AP37" s="173"/>
      <c r="AQ37" s="173"/>
      <c r="AR37" s="170"/>
      <c r="AS37" s="170"/>
      <c r="AU37" s="46"/>
    </row>
    <row r="38" spans="1:47" x14ac:dyDescent="0.25">
      <c r="A38" s="131">
        <v>12</v>
      </c>
      <c r="B38" s="182" t="s">
        <v>106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 t="s">
        <v>41</v>
      </c>
      <c r="W38" s="1" t="s">
        <v>41</v>
      </c>
      <c r="X38" s="1" t="s">
        <v>52</v>
      </c>
      <c r="Y38" s="1" t="s">
        <v>41</v>
      </c>
      <c r="Z38" s="1" t="s">
        <v>41</v>
      </c>
      <c r="AA38" s="1" t="s">
        <v>41</v>
      </c>
      <c r="AB38" s="1" t="s">
        <v>41</v>
      </c>
      <c r="AC38" s="1" t="s">
        <v>41</v>
      </c>
      <c r="AD38" s="1" t="s">
        <v>52</v>
      </c>
      <c r="AE38" s="1" t="s">
        <v>52</v>
      </c>
      <c r="AF38" s="1" t="s">
        <v>41</v>
      </c>
      <c r="AG38" s="1" t="s">
        <v>41</v>
      </c>
      <c r="AH38" s="134">
        <f>COUNTIF(C38:AG38,"P")</f>
        <v>9</v>
      </c>
      <c r="AI38" s="134">
        <f>COUNTIF(D38:AH38,"P/2")</f>
        <v>0</v>
      </c>
      <c r="AJ38" s="15"/>
      <c r="AK38" s="171">
        <f>COUNTIF(C40:AG40,"BAAS")</f>
        <v>0</v>
      </c>
      <c r="AL38" s="171">
        <f>COUNTIF(D40:AH40,"RCML")</f>
        <v>0</v>
      </c>
      <c r="AM38" s="171">
        <f>COUNTIF(E40:AJ40,"PRE")</f>
        <v>0</v>
      </c>
      <c r="AN38" s="171">
        <f>COUNTIF(F40:AK40,"BAKR")</f>
        <v>0</v>
      </c>
      <c r="AO38" s="171">
        <v>700</v>
      </c>
      <c r="AP38" s="171">
        <f>AO38*AI38/2</f>
        <v>0</v>
      </c>
      <c r="AQ38" s="171">
        <f>AH38*AO38+AP38</f>
        <v>6300</v>
      </c>
      <c r="AR38" s="168">
        <f>AJ39/8*AO38</f>
        <v>1925</v>
      </c>
      <c r="AS38" s="168">
        <f>AQ38+AR38</f>
        <v>8225</v>
      </c>
      <c r="AU38" s="46"/>
    </row>
    <row r="39" spans="1:47" x14ac:dyDescent="0.25">
      <c r="A39" s="132"/>
      <c r="B39" s="183"/>
      <c r="C39" s="13"/>
      <c r="D39" s="13"/>
      <c r="E39" s="9"/>
      <c r="F39" s="9"/>
      <c r="G39" s="9"/>
      <c r="H39" s="9"/>
      <c r="I39" s="9"/>
      <c r="J39" s="9"/>
      <c r="K39" s="9"/>
      <c r="L39" s="9"/>
      <c r="M39" s="9"/>
      <c r="N39" s="13"/>
      <c r="O39" s="9"/>
      <c r="P39" s="9"/>
      <c r="Q39" s="13"/>
      <c r="R39" s="9"/>
      <c r="S39" s="9"/>
      <c r="T39" s="9"/>
      <c r="U39" s="9"/>
      <c r="V39" s="13">
        <v>3</v>
      </c>
      <c r="W39" s="13">
        <v>2</v>
      </c>
      <c r="X39" s="13"/>
      <c r="Y39" s="13">
        <v>2</v>
      </c>
      <c r="Z39" s="13">
        <v>2</v>
      </c>
      <c r="AA39" s="13">
        <v>2</v>
      </c>
      <c r="AB39" s="13">
        <v>3</v>
      </c>
      <c r="AC39" s="13">
        <v>1</v>
      </c>
      <c r="AD39" s="13"/>
      <c r="AE39" s="13"/>
      <c r="AF39" s="13">
        <v>4</v>
      </c>
      <c r="AG39" s="9">
        <v>3</v>
      </c>
      <c r="AH39" s="135"/>
      <c r="AI39" s="135"/>
      <c r="AJ39" s="15">
        <f>SUM(C39:AG39)</f>
        <v>22</v>
      </c>
      <c r="AK39" s="172"/>
      <c r="AL39" s="172"/>
      <c r="AM39" s="172"/>
      <c r="AN39" s="172"/>
      <c r="AO39" s="172"/>
      <c r="AP39" s="172"/>
      <c r="AQ39" s="172"/>
      <c r="AR39" s="169"/>
      <c r="AS39" s="169"/>
      <c r="AU39" s="46"/>
    </row>
    <row r="40" spans="1:47" x14ac:dyDescent="0.25">
      <c r="A40" s="133"/>
      <c r="B40" s="184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36"/>
      <c r="AI40" s="136"/>
      <c r="AJ40" s="16"/>
      <c r="AK40" s="173"/>
      <c r="AL40" s="173"/>
      <c r="AM40" s="173"/>
      <c r="AN40" s="173"/>
      <c r="AO40" s="173"/>
      <c r="AP40" s="173"/>
      <c r="AQ40" s="173"/>
      <c r="AR40" s="170"/>
      <c r="AS40" s="170"/>
      <c r="AU40" s="46"/>
    </row>
    <row r="41" spans="1:47" x14ac:dyDescent="0.25">
      <c r="A41" s="131">
        <v>13</v>
      </c>
      <c r="B41" s="182" t="s">
        <v>87</v>
      </c>
      <c r="C41" s="1" t="s">
        <v>41</v>
      </c>
      <c r="D41" s="1" t="s">
        <v>41</v>
      </c>
      <c r="E41" s="1" t="s">
        <v>41</v>
      </c>
      <c r="F41" s="1" t="s">
        <v>41</v>
      </c>
      <c r="G41" s="1" t="s">
        <v>41</v>
      </c>
      <c r="H41" s="1" t="s">
        <v>41</v>
      </c>
      <c r="I41" s="1" t="s">
        <v>41</v>
      </c>
      <c r="J41" s="1" t="s">
        <v>41</v>
      </c>
      <c r="K41" s="1" t="s">
        <v>41</v>
      </c>
      <c r="L41" s="1" t="s">
        <v>41</v>
      </c>
      <c r="M41" s="1" t="s">
        <v>41</v>
      </c>
      <c r="N41" s="1" t="s">
        <v>52</v>
      </c>
      <c r="O41" s="1" t="s">
        <v>41</v>
      </c>
      <c r="P41" s="1" t="s">
        <v>41</v>
      </c>
      <c r="Q41" s="1" t="s">
        <v>41</v>
      </c>
      <c r="R41" s="1" t="s">
        <v>41</v>
      </c>
      <c r="S41" s="1" t="s">
        <v>41</v>
      </c>
      <c r="T41" s="1" t="s">
        <v>56</v>
      </c>
      <c r="U41" s="1" t="s">
        <v>41</v>
      </c>
      <c r="V41" s="1" t="s">
        <v>41</v>
      </c>
      <c r="W41" s="1" t="s">
        <v>41</v>
      </c>
      <c r="X41" s="1" t="s">
        <v>41</v>
      </c>
      <c r="Y41" s="1" t="s">
        <v>41</v>
      </c>
      <c r="Z41" s="1" t="s">
        <v>52</v>
      </c>
      <c r="AA41" s="1" t="s">
        <v>41</v>
      </c>
      <c r="AB41" s="1" t="s">
        <v>41</v>
      </c>
      <c r="AC41" s="1" t="s">
        <v>41</v>
      </c>
      <c r="AD41" s="1" t="s">
        <v>41</v>
      </c>
      <c r="AE41" s="1" t="s">
        <v>41</v>
      </c>
      <c r="AF41" s="1" t="s">
        <v>41</v>
      </c>
      <c r="AG41" s="1" t="s">
        <v>41</v>
      </c>
      <c r="AH41" s="134">
        <f>COUNTIF(C41:AG41,"P")</f>
        <v>28</v>
      </c>
      <c r="AI41" s="134">
        <f>COUNTIF(D41:AH41,"P/2")</f>
        <v>1</v>
      </c>
      <c r="AJ41" s="15"/>
      <c r="AK41" s="171">
        <f>COUNTIF(C43:AG43,"BAAS")</f>
        <v>0</v>
      </c>
      <c r="AL41" s="171">
        <f>COUNTIF(D43:AH43,"RCML")</f>
        <v>0</v>
      </c>
      <c r="AM41" s="171">
        <f>COUNTIF(E43:AJ43,"PRE")</f>
        <v>0</v>
      </c>
      <c r="AN41" s="171">
        <f>COUNTIF(F43:AK43,"BAKR")</f>
        <v>0</v>
      </c>
      <c r="AO41" s="171">
        <v>700</v>
      </c>
      <c r="AP41" s="171">
        <f>AO41*AI41/2</f>
        <v>350</v>
      </c>
      <c r="AQ41" s="171">
        <f>AH41*AO41+AP41</f>
        <v>19950</v>
      </c>
      <c r="AR41" s="168">
        <f>AJ42/8*AO41</f>
        <v>6125</v>
      </c>
      <c r="AS41" s="168">
        <f>AQ41+AR41</f>
        <v>26075</v>
      </c>
      <c r="AU41" s="46"/>
    </row>
    <row r="42" spans="1:47" x14ac:dyDescent="0.25">
      <c r="A42" s="132"/>
      <c r="B42" s="183"/>
      <c r="C42" s="13"/>
      <c r="D42" s="9">
        <v>1</v>
      </c>
      <c r="E42" s="9">
        <v>1</v>
      </c>
      <c r="F42" s="9">
        <v>4</v>
      </c>
      <c r="G42" s="9">
        <v>3</v>
      </c>
      <c r="H42" s="9">
        <v>2</v>
      </c>
      <c r="I42" s="9">
        <v>3</v>
      </c>
      <c r="J42" s="9">
        <v>4</v>
      </c>
      <c r="K42" s="9">
        <v>1</v>
      </c>
      <c r="L42" s="9">
        <v>4</v>
      </c>
      <c r="M42" s="9"/>
      <c r="N42" s="9"/>
      <c r="O42" s="9">
        <v>1</v>
      </c>
      <c r="P42" s="9">
        <v>3</v>
      </c>
      <c r="Q42" s="9">
        <v>1</v>
      </c>
      <c r="R42" s="9">
        <v>1</v>
      </c>
      <c r="S42" s="9">
        <v>4</v>
      </c>
      <c r="T42" s="9"/>
      <c r="U42" s="9">
        <v>2</v>
      </c>
      <c r="V42" s="9">
        <v>2</v>
      </c>
      <c r="W42" s="9">
        <v>5</v>
      </c>
      <c r="X42" s="9">
        <v>4</v>
      </c>
      <c r="Y42" s="9">
        <v>4</v>
      </c>
      <c r="Z42" s="9"/>
      <c r="AA42" s="9"/>
      <c r="AB42" s="13">
        <v>3</v>
      </c>
      <c r="AC42" s="9">
        <v>5</v>
      </c>
      <c r="AD42" s="9">
        <v>4</v>
      </c>
      <c r="AE42" s="13">
        <v>4</v>
      </c>
      <c r="AF42" s="13"/>
      <c r="AG42" s="9">
        <v>4</v>
      </c>
      <c r="AH42" s="135"/>
      <c r="AI42" s="135"/>
      <c r="AJ42" s="15">
        <f>SUM(C42:AG42)</f>
        <v>70</v>
      </c>
      <c r="AK42" s="172"/>
      <c r="AL42" s="172"/>
      <c r="AM42" s="172"/>
      <c r="AN42" s="172"/>
      <c r="AO42" s="172"/>
      <c r="AP42" s="172"/>
      <c r="AQ42" s="172"/>
      <c r="AR42" s="169"/>
      <c r="AS42" s="169"/>
      <c r="AU42" s="46"/>
    </row>
    <row r="43" spans="1:47" x14ac:dyDescent="0.25">
      <c r="A43" s="133"/>
      <c r="B43" s="184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"/>
      <c r="AC43" s="11"/>
      <c r="AD43" s="11"/>
      <c r="AE43" s="11"/>
      <c r="AF43" s="1"/>
      <c r="AG43" s="11"/>
      <c r="AH43" s="136"/>
      <c r="AI43" s="136"/>
      <c r="AJ43" s="16"/>
      <c r="AK43" s="173"/>
      <c r="AL43" s="173"/>
      <c r="AM43" s="173"/>
      <c r="AN43" s="173"/>
      <c r="AO43" s="173"/>
      <c r="AP43" s="173"/>
      <c r="AQ43" s="173"/>
      <c r="AR43" s="170"/>
      <c r="AS43" s="170"/>
      <c r="AU43" s="46"/>
    </row>
    <row r="44" spans="1:47" x14ac:dyDescent="0.25">
      <c r="A44" s="131">
        <v>14</v>
      </c>
      <c r="B44" s="182" t="s">
        <v>88</v>
      </c>
      <c r="C44" s="1" t="s">
        <v>41</v>
      </c>
      <c r="D44" s="1" t="s">
        <v>41</v>
      </c>
      <c r="E44" s="1" t="s">
        <v>41</v>
      </c>
      <c r="F44" s="1" t="s">
        <v>41</v>
      </c>
      <c r="G44" s="1" t="s">
        <v>41</v>
      </c>
      <c r="H44" s="1" t="s">
        <v>41</v>
      </c>
      <c r="I44" s="1" t="s">
        <v>41</v>
      </c>
      <c r="J44" s="1" t="s">
        <v>41</v>
      </c>
      <c r="K44" s="1" t="s">
        <v>41</v>
      </c>
      <c r="L44" s="1" t="s">
        <v>41</v>
      </c>
      <c r="M44" s="1" t="s">
        <v>41</v>
      </c>
      <c r="N44" s="1" t="s">
        <v>52</v>
      </c>
      <c r="O44" s="1" t="s">
        <v>41</v>
      </c>
      <c r="P44" s="1" t="s">
        <v>41</v>
      </c>
      <c r="Q44" s="1" t="s">
        <v>41</v>
      </c>
      <c r="R44" s="1" t="s">
        <v>41</v>
      </c>
      <c r="S44" s="1" t="s">
        <v>41</v>
      </c>
      <c r="T44" s="1" t="s">
        <v>41</v>
      </c>
      <c r="U44" s="1" t="s">
        <v>56</v>
      </c>
      <c r="V44" s="1" t="s">
        <v>41</v>
      </c>
      <c r="W44" s="1" t="s">
        <v>41</v>
      </c>
      <c r="X44" s="1" t="s">
        <v>41</v>
      </c>
      <c r="Y44" s="1" t="s">
        <v>41</v>
      </c>
      <c r="Z44" s="1" t="s">
        <v>41</v>
      </c>
      <c r="AA44" s="1" t="s">
        <v>41</v>
      </c>
      <c r="AB44" s="1" t="s">
        <v>41</v>
      </c>
      <c r="AC44" s="1" t="s">
        <v>41</v>
      </c>
      <c r="AD44" s="1" t="s">
        <v>41</v>
      </c>
      <c r="AE44" s="1" t="s">
        <v>41</v>
      </c>
      <c r="AF44" s="1" t="s">
        <v>41</v>
      </c>
      <c r="AG44" s="1" t="s">
        <v>41</v>
      </c>
      <c r="AH44" s="134">
        <f>COUNTIF(C44:AG44,"P")</f>
        <v>29</v>
      </c>
      <c r="AI44" s="134">
        <f>COUNTIF(D44:AH44,"P/2")</f>
        <v>1</v>
      </c>
      <c r="AJ44" s="15"/>
      <c r="AK44" s="171">
        <f>COUNTIF(C46:AG46,"BAAS")</f>
        <v>0</v>
      </c>
      <c r="AL44" s="171">
        <f>COUNTIF(D46:AH46,"RCML")</f>
        <v>0</v>
      </c>
      <c r="AM44" s="171">
        <f>COUNTIF(E46:AJ46,"PRE")</f>
        <v>0</v>
      </c>
      <c r="AN44" s="171">
        <f>COUNTIF(F46:AK46,"BAKR")</f>
        <v>0</v>
      </c>
      <c r="AO44" s="171">
        <v>700</v>
      </c>
      <c r="AP44" s="171">
        <f>AO44*AI44/2</f>
        <v>350</v>
      </c>
      <c r="AQ44" s="171">
        <f>AH44*AO44+AP44</f>
        <v>20650</v>
      </c>
      <c r="AR44" s="168">
        <f>AJ45/8*AO44</f>
        <v>7525</v>
      </c>
      <c r="AS44" s="168">
        <f>AQ44+AR44</f>
        <v>28175</v>
      </c>
      <c r="AU44" s="46"/>
    </row>
    <row r="45" spans="1:47" x14ac:dyDescent="0.25">
      <c r="A45" s="132"/>
      <c r="B45" s="183"/>
      <c r="C45" s="13"/>
      <c r="D45" s="13">
        <v>1</v>
      </c>
      <c r="E45" s="9">
        <v>2</v>
      </c>
      <c r="F45" s="9">
        <v>5</v>
      </c>
      <c r="G45" s="9">
        <v>2</v>
      </c>
      <c r="H45" s="9">
        <v>4</v>
      </c>
      <c r="I45" s="9">
        <v>6</v>
      </c>
      <c r="J45" s="9">
        <v>5</v>
      </c>
      <c r="K45" s="9"/>
      <c r="L45" s="9">
        <v>5</v>
      </c>
      <c r="M45" s="9"/>
      <c r="N45" s="9"/>
      <c r="O45" s="9">
        <v>2</v>
      </c>
      <c r="P45" s="9">
        <v>6</v>
      </c>
      <c r="Q45" s="9">
        <v>1</v>
      </c>
      <c r="R45" s="9"/>
      <c r="S45" s="9">
        <v>4</v>
      </c>
      <c r="T45" s="9"/>
      <c r="U45" s="9">
        <v>2</v>
      </c>
      <c r="V45" s="9">
        <v>2</v>
      </c>
      <c r="W45" s="9">
        <v>4</v>
      </c>
      <c r="X45" s="9">
        <v>4</v>
      </c>
      <c r="Y45" s="9">
        <v>4</v>
      </c>
      <c r="Z45" s="9">
        <v>1</v>
      </c>
      <c r="AA45" s="9"/>
      <c r="AB45" s="13">
        <v>3</v>
      </c>
      <c r="AC45" s="9">
        <v>5</v>
      </c>
      <c r="AD45" s="9">
        <v>3</v>
      </c>
      <c r="AE45" s="9">
        <v>4</v>
      </c>
      <c r="AF45" s="13">
        <v>7</v>
      </c>
      <c r="AG45" s="9">
        <v>4</v>
      </c>
      <c r="AH45" s="135"/>
      <c r="AI45" s="135"/>
      <c r="AJ45" s="15">
        <f>SUM(C45:AG45)</f>
        <v>86</v>
      </c>
      <c r="AK45" s="172"/>
      <c r="AL45" s="172"/>
      <c r="AM45" s="172"/>
      <c r="AN45" s="172"/>
      <c r="AO45" s="172"/>
      <c r="AP45" s="172"/>
      <c r="AQ45" s="172"/>
      <c r="AR45" s="169"/>
      <c r="AS45" s="169"/>
      <c r="AU45" s="46"/>
    </row>
    <row r="46" spans="1:47" x14ac:dyDescent="0.25">
      <c r="A46" s="133"/>
      <c r="B46" s="184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36"/>
      <c r="AI46" s="136"/>
      <c r="AJ46" s="16"/>
      <c r="AK46" s="173"/>
      <c r="AL46" s="173"/>
      <c r="AM46" s="173"/>
      <c r="AN46" s="173"/>
      <c r="AO46" s="173"/>
      <c r="AP46" s="173"/>
      <c r="AQ46" s="173"/>
      <c r="AR46" s="170"/>
      <c r="AS46" s="170"/>
      <c r="AU46" s="46"/>
    </row>
    <row r="47" spans="1:47" x14ac:dyDescent="0.25">
      <c r="A47" s="131">
        <v>15</v>
      </c>
      <c r="B47" s="188" t="s">
        <v>89</v>
      </c>
      <c r="C47" s="1" t="s">
        <v>41</v>
      </c>
      <c r="D47" s="1" t="s">
        <v>41</v>
      </c>
      <c r="E47" s="1" t="s">
        <v>41</v>
      </c>
      <c r="F47" s="1" t="s">
        <v>41</v>
      </c>
      <c r="G47" s="1" t="s">
        <v>41</v>
      </c>
      <c r="H47" s="1" t="s">
        <v>41</v>
      </c>
      <c r="I47" s="1" t="s">
        <v>41</v>
      </c>
      <c r="J47" s="1" t="s">
        <v>41</v>
      </c>
      <c r="K47" s="1" t="s">
        <v>41</v>
      </c>
      <c r="L47" s="1" t="s">
        <v>41</v>
      </c>
      <c r="M47" s="1" t="s">
        <v>41</v>
      </c>
      <c r="N47" s="1" t="s">
        <v>52</v>
      </c>
      <c r="O47" s="1" t="s">
        <v>41</v>
      </c>
      <c r="P47" s="1" t="s">
        <v>41</v>
      </c>
      <c r="Q47" s="1" t="s">
        <v>41</v>
      </c>
      <c r="R47" s="1" t="s">
        <v>41</v>
      </c>
      <c r="S47" s="1" t="s">
        <v>41</v>
      </c>
      <c r="T47" s="1" t="s">
        <v>56</v>
      </c>
      <c r="U47" s="1" t="s">
        <v>41</v>
      </c>
      <c r="V47" s="1" t="s">
        <v>41</v>
      </c>
      <c r="W47" s="1" t="s">
        <v>41</v>
      </c>
      <c r="X47" s="1" t="s">
        <v>41</v>
      </c>
      <c r="Y47" s="1" t="s">
        <v>41</v>
      </c>
      <c r="Z47" s="1" t="s">
        <v>52</v>
      </c>
      <c r="AA47" s="1" t="s">
        <v>41</v>
      </c>
      <c r="AB47" s="1" t="s">
        <v>41</v>
      </c>
      <c r="AC47" s="1" t="s">
        <v>41</v>
      </c>
      <c r="AD47" s="1" t="s">
        <v>41</v>
      </c>
      <c r="AE47" s="1" t="s">
        <v>41</v>
      </c>
      <c r="AF47" s="1" t="s">
        <v>41</v>
      </c>
      <c r="AG47" s="1" t="s">
        <v>41</v>
      </c>
      <c r="AH47" s="134">
        <f>COUNTIF(C47:AG47,"P")</f>
        <v>28</v>
      </c>
      <c r="AI47" s="134">
        <f>COUNTIF(D47:AH47,"P/2")</f>
        <v>1</v>
      </c>
      <c r="AJ47" s="15"/>
      <c r="AK47" s="171">
        <f>COUNTIF(C49:AG49,"BAAS")</f>
        <v>0</v>
      </c>
      <c r="AL47" s="171">
        <f>COUNTIF(D49:AH49,"RCML")</f>
        <v>0</v>
      </c>
      <c r="AM47" s="171">
        <f>COUNTIF(E49:AJ49,"PRE")</f>
        <v>0</v>
      </c>
      <c r="AN47" s="171">
        <f>COUNTIF(F49:AK49,"BAKR")</f>
        <v>0</v>
      </c>
      <c r="AO47" s="171">
        <v>800</v>
      </c>
      <c r="AP47" s="171">
        <f>AO47*AI47/2</f>
        <v>400</v>
      </c>
      <c r="AQ47" s="171">
        <f>AH47*AO47+AP47</f>
        <v>22800</v>
      </c>
      <c r="AR47" s="168">
        <f>AJ48/8*AO47</f>
        <v>7700</v>
      </c>
      <c r="AS47" s="168">
        <f>AQ47+AR47</f>
        <v>30500</v>
      </c>
      <c r="AU47" s="46"/>
    </row>
    <row r="48" spans="1:47" x14ac:dyDescent="0.25">
      <c r="A48" s="132"/>
      <c r="B48" s="189"/>
      <c r="C48" s="13"/>
      <c r="D48" s="13"/>
      <c r="E48" s="9">
        <v>3</v>
      </c>
      <c r="F48" s="9">
        <v>5</v>
      </c>
      <c r="G48" s="9">
        <v>4</v>
      </c>
      <c r="H48" s="9">
        <v>4</v>
      </c>
      <c r="I48" s="9">
        <v>6</v>
      </c>
      <c r="J48" s="9">
        <v>5</v>
      </c>
      <c r="K48" s="9"/>
      <c r="L48" s="9">
        <v>2</v>
      </c>
      <c r="M48" s="9"/>
      <c r="N48" s="9"/>
      <c r="O48" s="9">
        <v>1</v>
      </c>
      <c r="P48" s="9">
        <v>4</v>
      </c>
      <c r="Q48" s="9">
        <v>1</v>
      </c>
      <c r="R48" s="9">
        <v>2</v>
      </c>
      <c r="S48" s="9">
        <v>4</v>
      </c>
      <c r="T48" s="9"/>
      <c r="U48" s="9">
        <v>2</v>
      </c>
      <c r="V48" s="9">
        <v>2</v>
      </c>
      <c r="W48" s="9">
        <v>4</v>
      </c>
      <c r="X48" s="9">
        <v>4</v>
      </c>
      <c r="Y48" s="9"/>
      <c r="Z48" s="9"/>
      <c r="AA48" s="9"/>
      <c r="AB48" s="13">
        <v>1</v>
      </c>
      <c r="AC48" s="9">
        <v>5</v>
      </c>
      <c r="AD48" s="9">
        <v>3</v>
      </c>
      <c r="AE48" s="13">
        <v>4</v>
      </c>
      <c r="AF48" s="13">
        <v>7</v>
      </c>
      <c r="AG48" s="9">
        <v>4</v>
      </c>
      <c r="AH48" s="135"/>
      <c r="AI48" s="135"/>
      <c r="AJ48" s="15">
        <f>SUM(C48:AG48)</f>
        <v>77</v>
      </c>
      <c r="AK48" s="172"/>
      <c r="AL48" s="172"/>
      <c r="AM48" s="172"/>
      <c r="AN48" s="172"/>
      <c r="AO48" s="172"/>
      <c r="AP48" s="172"/>
      <c r="AQ48" s="172"/>
      <c r="AR48" s="169"/>
      <c r="AS48" s="169"/>
      <c r="AU48" s="46" t="s">
        <v>111</v>
      </c>
    </row>
    <row r="49" spans="1:47" x14ac:dyDescent="0.25">
      <c r="A49" s="133"/>
      <c r="B49" s="19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36"/>
      <c r="AI49" s="136"/>
      <c r="AJ49" s="16"/>
      <c r="AK49" s="173"/>
      <c r="AL49" s="173"/>
      <c r="AM49" s="173"/>
      <c r="AN49" s="173"/>
      <c r="AO49" s="173"/>
      <c r="AP49" s="173"/>
      <c r="AQ49" s="173"/>
      <c r="AR49" s="170"/>
      <c r="AS49" s="170"/>
      <c r="AU49" s="46"/>
    </row>
    <row r="50" spans="1:47" x14ac:dyDescent="0.25">
      <c r="A50" s="131">
        <v>16</v>
      </c>
      <c r="B50" s="182" t="s">
        <v>90</v>
      </c>
      <c r="C50" s="1" t="s">
        <v>41</v>
      </c>
      <c r="D50" s="1" t="s">
        <v>41</v>
      </c>
      <c r="E50" s="1" t="s">
        <v>41</v>
      </c>
      <c r="F50" s="1" t="s">
        <v>52</v>
      </c>
      <c r="G50" s="1" t="s">
        <v>52</v>
      </c>
      <c r="H50" s="1" t="s">
        <v>52</v>
      </c>
      <c r="I50" s="1" t="s">
        <v>52</v>
      </c>
      <c r="J50" s="1" t="s">
        <v>52</v>
      </c>
      <c r="K50" s="1" t="s">
        <v>52</v>
      </c>
      <c r="L50" s="1" t="s">
        <v>52</v>
      </c>
      <c r="M50" s="1" t="s">
        <v>52</v>
      </c>
      <c r="N50" s="1" t="s">
        <v>52</v>
      </c>
      <c r="O50" s="1" t="s">
        <v>52</v>
      </c>
      <c r="P50" s="1" t="s">
        <v>52</v>
      </c>
      <c r="Q50" s="1" t="s">
        <v>52</v>
      </c>
      <c r="R50" s="1" t="s">
        <v>52</v>
      </c>
      <c r="S50" s="1" t="s">
        <v>52</v>
      </c>
      <c r="T50" s="1" t="s">
        <v>52</v>
      </c>
      <c r="U50" s="1" t="s">
        <v>52</v>
      </c>
      <c r="V50" s="1" t="s">
        <v>52</v>
      </c>
      <c r="W50" s="1" t="s">
        <v>52</v>
      </c>
      <c r="X50" s="1" t="s">
        <v>52</v>
      </c>
      <c r="Y50" s="1" t="s">
        <v>52</v>
      </c>
      <c r="Z50" s="1" t="s">
        <v>52</v>
      </c>
      <c r="AA50" s="1" t="s">
        <v>52</v>
      </c>
      <c r="AB50" s="1" t="s">
        <v>52</v>
      </c>
      <c r="AC50" s="1" t="s">
        <v>52</v>
      </c>
      <c r="AD50" s="1" t="s">
        <v>52</v>
      </c>
      <c r="AE50" s="1" t="s">
        <v>52</v>
      </c>
      <c r="AF50" s="1" t="s">
        <v>52</v>
      </c>
      <c r="AG50" s="1" t="s">
        <v>52</v>
      </c>
      <c r="AH50" s="134">
        <f>COUNTIF(C50:AG50,"P")</f>
        <v>3</v>
      </c>
      <c r="AI50" s="134">
        <f>COUNTIF(D50:AH50,"P/2")</f>
        <v>0</v>
      </c>
      <c r="AJ50" s="15"/>
      <c r="AK50" s="171">
        <f>COUNTIF(C52:AG52,"BAAS")</f>
        <v>0</v>
      </c>
      <c r="AL50" s="171">
        <f>COUNTIF(D52:AH52,"RCML")</f>
        <v>0</v>
      </c>
      <c r="AM50" s="171">
        <f>COUNTIF(E52:AJ52,"PRE")</f>
        <v>0</v>
      </c>
      <c r="AN50" s="171">
        <f>COUNTIF(F52:AK52,"BAKR")</f>
        <v>0</v>
      </c>
      <c r="AO50" s="171">
        <v>600</v>
      </c>
      <c r="AP50" s="171">
        <f>AO50*AI50/2</f>
        <v>0</v>
      </c>
      <c r="AQ50" s="171">
        <f>AH50*AO50+AP50</f>
        <v>1800</v>
      </c>
      <c r="AR50" s="168">
        <f>AJ51/8*AO50</f>
        <v>300</v>
      </c>
      <c r="AS50" s="168">
        <f>AQ50+AR50</f>
        <v>2100</v>
      </c>
      <c r="AU50" s="46"/>
    </row>
    <row r="51" spans="1:47" x14ac:dyDescent="0.25">
      <c r="A51" s="132"/>
      <c r="B51" s="183"/>
      <c r="C51" s="13"/>
      <c r="D51" s="13">
        <v>1</v>
      </c>
      <c r="E51" s="9">
        <v>3</v>
      </c>
      <c r="F51" s="9"/>
      <c r="G51" s="9"/>
      <c r="H51" s="9"/>
      <c r="I51" s="13"/>
      <c r="J51" s="13"/>
      <c r="K51" s="9"/>
      <c r="L51" s="9"/>
      <c r="M51" s="9"/>
      <c r="N51" s="13"/>
      <c r="O51" s="13"/>
      <c r="P51" s="9"/>
      <c r="Q51" s="9"/>
      <c r="R51" s="9"/>
      <c r="S51" s="9"/>
      <c r="T51" s="9"/>
      <c r="U51" s="9"/>
      <c r="V51" s="13"/>
      <c r="W51" s="9"/>
      <c r="X51" s="9"/>
      <c r="Y51" s="9"/>
      <c r="Z51" s="9"/>
      <c r="AA51" s="9"/>
      <c r="AB51" s="13"/>
      <c r="AC51" s="9"/>
      <c r="AD51" s="9"/>
      <c r="AE51" s="13"/>
      <c r="AF51" s="13"/>
      <c r="AG51" s="9"/>
      <c r="AH51" s="135"/>
      <c r="AI51" s="135"/>
      <c r="AJ51" s="15">
        <f>SUM(C51:AG51)</f>
        <v>4</v>
      </c>
      <c r="AK51" s="172"/>
      <c r="AL51" s="172"/>
      <c r="AM51" s="172"/>
      <c r="AN51" s="172"/>
      <c r="AO51" s="172"/>
      <c r="AP51" s="172"/>
      <c r="AQ51" s="172"/>
      <c r="AR51" s="169"/>
      <c r="AS51" s="169"/>
      <c r="AU51" s="46"/>
    </row>
    <row r="52" spans="1:47" x14ac:dyDescent="0.25">
      <c r="A52" s="133"/>
      <c r="B52" s="184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36"/>
      <c r="AI52" s="136"/>
      <c r="AJ52" s="16"/>
      <c r="AK52" s="173"/>
      <c r="AL52" s="173"/>
      <c r="AM52" s="173"/>
      <c r="AN52" s="173"/>
      <c r="AO52" s="173"/>
      <c r="AP52" s="173"/>
      <c r="AQ52" s="173"/>
      <c r="AR52" s="170"/>
      <c r="AS52" s="170"/>
      <c r="AU52" s="46"/>
    </row>
    <row r="53" spans="1:47" x14ac:dyDescent="0.25">
      <c r="A53" s="131">
        <v>17</v>
      </c>
      <c r="B53" s="182" t="s">
        <v>91</v>
      </c>
      <c r="C53" s="1" t="s">
        <v>41</v>
      </c>
      <c r="D53" s="1" t="s">
        <v>41</v>
      </c>
      <c r="E53" s="1" t="s">
        <v>41</v>
      </c>
      <c r="F53" s="1" t="s">
        <v>41</v>
      </c>
      <c r="G53" s="1" t="s">
        <v>41</v>
      </c>
      <c r="H53" s="1" t="s">
        <v>41</v>
      </c>
      <c r="I53" s="1" t="s">
        <v>52</v>
      </c>
      <c r="J53" s="1" t="s">
        <v>41</v>
      </c>
      <c r="K53" s="1" t="s">
        <v>52</v>
      </c>
      <c r="L53" s="1" t="s">
        <v>52</v>
      </c>
      <c r="M53" s="1" t="s">
        <v>52</v>
      </c>
      <c r="N53" s="1" t="s">
        <v>52</v>
      </c>
      <c r="O53" s="1" t="s">
        <v>52</v>
      </c>
      <c r="P53" s="1" t="s">
        <v>52</v>
      </c>
      <c r="Q53" s="1" t="s">
        <v>52</v>
      </c>
      <c r="R53" s="1" t="s">
        <v>52</v>
      </c>
      <c r="S53" s="1" t="s">
        <v>52</v>
      </c>
      <c r="T53" s="1" t="s">
        <v>52</v>
      </c>
      <c r="U53" s="1" t="s">
        <v>52</v>
      </c>
      <c r="V53" s="1" t="s">
        <v>52</v>
      </c>
      <c r="W53" s="1" t="s">
        <v>52</v>
      </c>
      <c r="X53" s="1" t="s">
        <v>52</v>
      </c>
      <c r="Y53" s="1" t="s">
        <v>52</v>
      </c>
      <c r="Z53" s="1" t="s">
        <v>52</v>
      </c>
      <c r="AA53" s="1" t="s">
        <v>52</v>
      </c>
      <c r="AB53" s="1" t="s">
        <v>52</v>
      </c>
      <c r="AC53" s="1" t="s">
        <v>52</v>
      </c>
      <c r="AD53" s="1" t="s">
        <v>52</v>
      </c>
      <c r="AE53" s="1" t="s">
        <v>52</v>
      </c>
      <c r="AF53" s="1" t="s">
        <v>52</v>
      </c>
      <c r="AG53" s="1" t="s">
        <v>52</v>
      </c>
      <c r="AH53" s="134">
        <f>COUNTIF(C53:AG53,"P")</f>
        <v>7</v>
      </c>
      <c r="AI53" s="134">
        <f>COUNTIF(D53:AH53,"P/2")</f>
        <v>0</v>
      </c>
      <c r="AJ53" s="15"/>
      <c r="AK53" s="171">
        <f>COUNTIF(C55:AG55,"BAAS")</f>
        <v>0</v>
      </c>
      <c r="AL53" s="171">
        <f>COUNTIF(D55:AH55,"RCML")</f>
        <v>0</v>
      </c>
      <c r="AM53" s="171">
        <f>COUNTIF(E55:AJ55,"PRE")</f>
        <v>0</v>
      </c>
      <c r="AN53" s="171">
        <f>COUNTIF(F55:AK55,"BAKR")</f>
        <v>0</v>
      </c>
      <c r="AO53" s="171">
        <v>600</v>
      </c>
      <c r="AP53" s="171">
        <f>AO53*AI53/2</f>
        <v>0</v>
      </c>
      <c r="AQ53" s="171">
        <f>AH53*AO53+AP53</f>
        <v>4200</v>
      </c>
      <c r="AR53" s="168">
        <f>AJ54/8*AO53</f>
        <v>1350</v>
      </c>
      <c r="AS53" s="168">
        <f>AQ53+AR53</f>
        <v>5550</v>
      </c>
      <c r="AU53" s="46"/>
    </row>
    <row r="54" spans="1:47" x14ac:dyDescent="0.25">
      <c r="A54" s="132"/>
      <c r="B54" s="183"/>
      <c r="C54" s="13"/>
      <c r="D54" s="13">
        <v>1</v>
      </c>
      <c r="E54" s="9">
        <v>3</v>
      </c>
      <c r="F54" s="9">
        <v>4</v>
      </c>
      <c r="G54" s="9">
        <v>3</v>
      </c>
      <c r="H54" s="9">
        <v>2</v>
      </c>
      <c r="I54" s="9"/>
      <c r="J54" s="9">
        <v>5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13"/>
      <c r="AC54" s="9"/>
      <c r="AD54" s="9"/>
      <c r="AE54" s="9"/>
      <c r="AF54" s="13"/>
      <c r="AG54" s="9"/>
      <c r="AH54" s="135"/>
      <c r="AI54" s="135"/>
      <c r="AJ54" s="15">
        <f>SUM(C54:AG54)</f>
        <v>18</v>
      </c>
      <c r="AK54" s="172"/>
      <c r="AL54" s="172"/>
      <c r="AM54" s="172"/>
      <c r="AN54" s="172"/>
      <c r="AO54" s="172"/>
      <c r="AP54" s="172"/>
      <c r="AQ54" s="172"/>
      <c r="AR54" s="169"/>
      <c r="AS54" s="169"/>
      <c r="AU54" s="46"/>
    </row>
    <row r="55" spans="1:47" x14ac:dyDescent="0.25">
      <c r="A55" s="133"/>
      <c r="B55" s="184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36"/>
      <c r="AI55" s="136"/>
      <c r="AJ55" s="16"/>
      <c r="AK55" s="173"/>
      <c r="AL55" s="173"/>
      <c r="AM55" s="173"/>
      <c r="AN55" s="173"/>
      <c r="AO55" s="173"/>
      <c r="AP55" s="173"/>
      <c r="AQ55" s="173"/>
      <c r="AR55" s="170"/>
      <c r="AS55" s="170"/>
      <c r="AU55" s="46"/>
    </row>
    <row r="56" spans="1:47" x14ac:dyDescent="0.25">
      <c r="A56" s="131">
        <v>18</v>
      </c>
      <c r="B56" s="182" t="s">
        <v>99</v>
      </c>
      <c r="C56" s="1" t="s">
        <v>41</v>
      </c>
      <c r="D56" s="1" t="s">
        <v>41</v>
      </c>
      <c r="E56" s="1" t="s">
        <v>41</v>
      </c>
      <c r="F56" s="1" t="s">
        <v>41</v>
      </c>
      <c r="G56" s="1" t="s">
        <v>41</v>
      </c>
      <c r="H56" s="1" t="s">
        <v>41</v>
      </c>
      <c r="I56" s="1" t="s">
        <v>52</v>
      </c>
      <c r="J56" s="1" t="s">
        <v>41</v>
      </c>
      <c r="K56" s="1" t="s">
        <v>41</v>
      </c>
      <c r="L56" s="1" t="s">
        <v>41</v>
      </c>
      <c r="M56" s="1" t="s">
        <v>41</v>
      </c>
      <c r="N56" s="1" t="s">
        <v>52</v>
      </c>
      <c r="O56" s="1" t="s">
        <v>41</v>
      </c>
      <c r="P56" s="1" t="s">
        <v>41</v>
      </c>
      <c r="Q56" s="1" t="s">
        <v>41</v>
      </c>
      <c r="R56" s="1" t="s">
        <v>41</v>
      </c>
      <c r="S56" s="1" t="s">
        <v>41</v>
      </c>
      <c r="T56" s="1" t="s">
        <v>56</v>
      </c>
      <c r="U56" s="1" t="s">
        <v>41</v>
      </c>
      <c r="V56" s="1" t="s">
        <v>41</v>
      </c>
      <c r="W56" s="1" t="s">
        <v>41</v>
      </c>
      <c r="X56" s="1" t="s">
        <v>41</v>
      </c>
      <c r="Y56" s="1" t="s">
        <v>41</v>
      </c>
      <c r="Z56" s="1" t="s">
        <v>41</v>
      </c>
      <c r="AA56" s="1" t="s">
        <v>41</v>
      </c>
      <c r="AB56" s="1" t="s">
        <v>41</v>
      </c>
      <c r="AC56" s="1" t="s">
        <v>41</v>
      </c>
      <c r="AD56" s="1" t="s">
        <v>41</v>
      </c>
      <c r="AE56" s="1" t="s">
        <v>41</v>
      </c>
      <c r="AF56" s="1" t="s">
        <v>41</v>
      </c>
      <c r="AG56" s="1" t="s">
        <v>41</v>
      </c>
      <c r="AH56" s="134">
        <f>COUNTIF(C56:AG56,"P")</f>
        <v>28</v>
      </c>
      <c r="AI56" s="134">
        <f>COUNTIF(D56:AH56,"P/2")</f>
        <v>1</v>
      </c>
      <c r="AJ56" s="15"/>
      <c r="AK56" s="171">
        <f>COUNTIF(C58:AG58,"BAAS")</f>
        <v>0</v>
      </c>
      <c r="AL56" s="171">
        <f>COUNTIF(D58:AH58,"RCML")</f>
        <v>0</v>
      </c>
      <c r="AM56" s="171">
        <f>COUNTIF(E58:AJ58,"PRE")</f>
        <v>0</v>
      </c>
      <c r="AN56" s="171">
        <f>COUNTIF(F58:AK58,"BAKR")</f>
        <v>0</v>
      </c>
      <c r="AO56" s="171">
        <v>900</v>
      </c>
      <c r="AP56" s="171">
        <f>AO56*AI56/2</f>
        <v>450</v>
      </c>
      <c r="AQ56" s="171">
        <f>AH56*AO56+AP56</f>
        <v>25650</v>
      </c>
      <c r="AR56" s="168">
        <f>AJ57/8*AO56</f>
        <v>7987.5</v>
      </c>
      <c r="AS56" s="168">
        <f>AQ56+AR56</f>
        <v>33637.5</v>
      </c>
      <c r="AU56" s="46"/>
    </row>
    <row r="57" spans="1:47" x14ac:dyDescent="0.25">
      <c r="A57" s="132"/>
      <c r="B57" s="183"/>
      <c r="C57" s="13"/>
      <c r="D57" s="13">
        <v>1</v>
      </c>
      <c r="E57" s="9">
        <v>2</v>
      </c>
      <c r="F57" s="9">
        <v>4</v>
      </c>
      <c r="G57" s="9">
        <v>3</v>
      </c>
      <c r="H57" s="9">
        <v>2</v>
      </c>
      <c r="I57" s="9"/>
      <c r="J57" s="9">
        <v>5</v>
      </c>
      <c r="K57" s="9"/>
      <c r="L57" s="9">
        <v>4</v>
      </c>
      <c r="M57" s="9"/>
      <c r="N57" s="9"/>
      <c r="O57" s="9">
        <v>1</v>
      </c>
      <c r="P57" s="9">
        <v>4</v>
      </c>
      <c r="Q57" s="9">
        <v>3</v>
      </c>
      <c r="R57" s="9">
        <v>2</v>
      </c>
      <c r="S57" s="9">
        <v>2</v>
      </c>
      <c r="T57" s="9"/>
      <c r="U57" s="9">
        <v>3</v>
      </c>
      <c r="V57" s="9">
        <v>1</v>
      </c>
      <c r="W57" s="9">
        <v>1</v>
      </c>
      <c r="X57" s="9">
        <v>1</v>
      </c>
      <c r="Y57" s="13">
        <v>3</v>
      </c>
      <c r="Z57" s="13">
        <v>3</v>
      </c>
      <c r="AA57" s="13"/>
      <c r="AB57" s="13">
        <v>3</v>
      </c>
      <c r="AC57" s="13">
        <v>5</v>
      </c>
      <c r="AD57" s="9">
        <v>3</v>
      </c>
      <c r="AE57" s="13">
        <v>4</v>
      </c>
      <c r="AF57" s="13">
        <v>7</v>
      </c>
      <c r="AG57" s="9">
        <v>4</v>
      </c>
      <c r="AH57" s="135"/>
      <c r="AI57" s="135"/>
      <c r="AJ57" s="15">
        <f>SUM(C57:AG57)</f>
        <v>71</v>
      </c>
      <c r="AK57" s="172"/>
      <c r="AL57" s="172"/>
      <c r="AM57" s="172"/>
      <c r="AN57" s="172"/>
      <c r="AO57" s="172"/>
      <c r="AP57" s="172"/>
      <c r="AQ57" s="172"/>
      <c r="AR57" s="169"/>
      <c r="AS57" s="169"/>
      <c r="AU57" s="46"/>
    </row>
    <row r="58" spans="1:47" x14ac:dyDescent="0.25">
      <c r="A58" s="133"/>
      <c r="B58" s="184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36"/>
      <c r="AI58" s="136"/>
      <c r="AJ58" s="16"/>
      <c r="AK58" s="173"/>
      <c r="AL58" s="173"/>
      <c r="AM58" s="173"/>
      <c r="AN58" s="173"/>
      <c r="AO58" s="173"/>
      <c r="AP58" s="173"/>
      <c r="AQ58" s="173"/>
      <c r="AR58" s="170"/>
      <c r="AS58" s="170"/>
      <c r="AU58" s="46"/>
    </row>
    <row r="59" spans="1:47" x14ac:dyDescent="0.25">
      <c r="A59" s="131">
        <v>19</v>
      </c>
      <c r="B59" s="182" t="s">
        <v>95</v>
      </c>
      <c r="C59" s="1" t="s">
        <v>41</v>
      </c>
      <c r="D59" s="1" t="s">
        <v>41</v>
      </c>
      <c r="E59" s="1" t="s">
        <v>41</v>
      </c>
      <c r="F59" s="1" t="s">
        <v>41</v>
      </c>
      <c r="G59" s="1" t="s">
        <v>41</v>
      </c>
      <c r="H59" s="1" t="s">
        <v>41</v>
      </c>
      <c r="I59" s="1" t="s">
        <v>41</v>
      </c>
      <c r="J59" s="1" t="s">
        <v>41</v>
      </c>
      <c r="K59" s="1" t="s">
        <v>41</v>
      </c>
      <c r="L59" s="1" t="s">
        <v>41</v>
      </c>
      <c r="M59" s="1" t="s">
        <v>41</v>
      </c>
      <c r="N59" s="1" t="s">
        <v>41</v>
      </c>
      <c r="O59" s="1" t="s">
        <v>41</v>
      </c>
      <c r="P59" s="1" t="s">
        <v>41</v>
      </c>
      <c r="Q59" s="1" t="s">
        <v>41</v>
      </c>
      <c r="R59" s="1" t="s">
        <v>41</v>
      </c>
      <c r="S59" s="1" t="s">
        <v>52</v>
      </c>
      <c r="T59" s="1" t="s">
        <v>52</v>
      </c>
      <c r="U59" s="1" t="s">
        <v>52</v>
      </c>
      <c r="V59" s="1" t="s">
        <v>41</v>
      </c>
      <c r="W59" s="1" t="s">
        <v>41</v>
      </c>
      <c r="X59" s="1" t="s">
        <v>52</v>
      </c>
      <c r="Y59" s="1" t="s">
        <v>52</v>
      </c>
      <c r="Z59" s="1" t="s">
        <v>41</v>
      </c>
      <c r="AA59" s="1" t="s">
        <v>41</v>
      </c>
      <c r="AB59" s="1" t="s">
        <v>41</v>
      </c>
      <c r="AC59" s="1" t="s">
        <v>41</v>
      </c>
      <c r="AD59" s="1" t="s">
        <v>41</v>
      </c>
      <c r="AE59" s="1" t="s">
        <v>52</v>
      </c>
      <c r="AF59" s="1" t="s">
        <v>41</v>
      </c>
      <c r="AG59" s="1" t="s">
        <v>41</v>
      </c>
      <c r="AH59" s="134">
        <f>COUNTIF(C59:AG59,"P")</f>
        <v>25</v>
      </c>
      <c r="AI59" s="134">
        <f>COUNTIF(D59:AH59,"P/2")</f>
        <v>0</v>
      </c>
      <c r="AJ59" s="15"/>
      <c r="AK59" s="171">
        <f>COUNTIF(C61:AG61,"BAAS")</f>
        <v>0</v>
      </c>
      <c r="AL59" s="171">
        <f>COUNTIF(D61:AH61,"RCML")</f>
        <v>0</v>
      </c>
      <c r="AM59" s="171">
        <f>COUNTIF(E61:AJ61,"PRE")</f>
        <v>0</v>
      </c>
      <c r="AN59" s="171">
        <f>COUNTIF(F61:AK61,"BAKR")</f>
        <v>0</v>
      </c>
      <c r="AO59" s="171">
        <v>700</v>
      </c>
      <c r="AP59" s="171">
        <f>AO59*AI59/2</f>
        <v>0</v>
      </c>
      <c r="AQ59" s="171">
        <f>AH59*AO59+AP59</f>
        <v>17500</v>
      </c>
      <c r="AR59" s="168">
        <f>AJ60/8*AO59</f>
        <v>5250</v>
      </c>
      <c r="AS59" s="168">
        <f>AQ59+AR59</f>
        <v>22750</v>
      </c>
      <c r="AU59" s="46"/>
    </row>
    <row r="60" spans="1:47" x14ac:dyDescent="0.25">
      <c r="A60" s="132"/>
      <c r="B60" s="183"/>
      <c r="C60" s="13">
        <v>2</v>
      </c>
      <c r="D60" s="13">
        <v>4</v>
      </c>
      <c r="E60" s="13">
        <v>2</v>
      </c>
      <c r="F60" s="13">
        <v>2</v>
      </c>
      <c r="G60" s="13">
        <v>2</v>
      </c>
      <c r="H60" s="13"/>
      <c r="I60" s="13">
        <v>2</v>
      </c>
      <c r="J60" s="9"/>
      <c r="K60" s="9">
        <v>4</v>
      </c>
      <c r="L60" s="9">
        <v>5</v>
      </c>
      <c r="M60" s="9">
        <v>5</v>
      </c>
      <c r="N60" s="9">
        <v>4</v>
      </c>
      <c r="O60" s="9">
        <v>4</v>
      </c>
      <c r="P60" s="9">
        <v>3</v>
      </c>
      <c r="Q60" s="9">
        <v>4</v>
      </c>
      <c r="R60" s="9"/>
      <c r="S60" s="9"/>
      <c r="T60" s="9"/>
      <c r="U60" s="9"/>
      <c r="V60" s="9">
        <v>3</v>
      </c>
      <c r="W60" s="9">
        <v>2</v>
      </c>
      <c r="X60" s="9"/>
      <c r="Y60" s="9"/>
      <c r="Z60" s="9">
        <v>2</v>
      </c>
      <c r="AA60" s="9">
        <v>2</v>
      </c>
      <c r="AB60" s="9"/>
      <c r="AC60" s="9">
        <v>1</v>
      </c>
      <c r="AD60" s="9"/>
      <c r="AE60" s="9"/>
      <c r="AF60" s="9">
        <v>4</v>
      </c>
      <c r="AG60" s="9">
        <v>3</v>
      </c>
      <c r="AH60" s="135"/>
      <c r="AI60" s="135"/>
      <c r="AJ60" s="15">
        <f>SUM(C60:AG60)</f>
        <v>60</v>
      </c>
      <c r="AK60" s="172"/>
      <c r="AL60" s="172"/>
      <c r="AM60" s="172"/>
      <c r="AN60" s="172"/>
      <c r="AO60" s="172"/>
      <c r="AP60" s="172"/>
      <c r="AQ60" s="172"/>
      <c r="AR60" s="169"/>
      <c r="AS60" s="169"/>
      <c r="AU60" s="46"/>
    </row>
    <row r="61" spans="1:47" x14ac:dyDescent="0.25">
      <c r="A61" s="133"/>
      <c r="B61" s="184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36"/>
      <c r="AI61" s="136"/>
      <c r="AJ61" s="16"/>
      <c r="AK61" s="173"/>
      <c r="AL61" s="173"/>
      <c r="AM61" s="173"/>
      <c r="AN61" s="173"/>
      <c r="AO61" s="173"/>
      <c r="AP61" s="173"/>
      <c r="AQ61" s="173"/>
      <c r="AR61" s="170"/>
      <c r="AS61" s="170"/>
      <c r="AU61" s="46"/>
    </row>
    <row r="62" spans="1:47" x14ac:dyDescent="0.25">
      <c r="A62" s="131">
        <v>20</v>
      </c>
      <c r="B62" s="182" t="s">
        <v>107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 t="s">
        <v>41</v>
      </c>
      <c r="W62" s="1" t="s">
        <v>41</v>
      </c>
      <c r="X62" s="1" t="s">
        <v>52</v>
      </c>
      <c r="Y62" s="1" t="s">
        <v>41</v>
      </c>
      <c r="Z62" s="1" t="s">
        <v>41</v>
      </c>
      <c r="AA62" s="1" t="s">
        <v>41</v>
      </c>
      <c r="AB62" s="1" t="s">
        <v>41</v>
      </c>
      <c r="AC62" s="1" t="s">
        <v>41</v>
      </c>
      <c r="AD62" s="1" t="s">
        <v>41</v>
      </c>
      <c r="AE62" s="1" t="s">
        <v>41</v>
      </c>
      <c r="AF62" s="1" t="s">
        <v>41</v>
      </c>
      <c r="AG62" s="1" t="s">
        <v>41</v>
      </c>
      <c r="AH62" s="134">
        <f>COUNTIF(C62:AG62,"P")</f>
        <v>11</v>
      </c>
      <c r="AI62" s="134">
        <f>COUNTIF(D62:AH62,"P/2")</f>
        <v>0</v>
      </c>
      <c r="AJ62" s="15"/>
      <c r="AK62" s="171">
        <f t="shared" ref="AK62" si="1">COUNTIF(C64:AG64,"BAAS")</f>
        <v>0</v>
      </c>
      <c r="AL62" s="171">
        <f t="shared" ref="AL62" si="2">COUNTIF(D64:AH64,"RCML")</f>
        <v>0</v>
      </c>
      <c r="AM62" s="171">
        <f t="shared" ref="AM62" si="3">COUNTIF(E64:AJ64,"PRE")</f>
        <v>0</v>
      </c>
      <c r="AN62" s="171">
        <f t="shared" ref="AN62" si="4">COUNTIF(F64:AK64,"BAKR")</f>
        <v>0</v>
      </c>
      <c r="AO62" s="171">
        <v>800</v>
      </c>
      <c r="AP62" s="171">
        <f t="shared" ref="AP62" si="5">AO62*AI62/2</f>
        <v>0</v>
      </c>
      <c r="AQ62" s="171">
        <f t="shared" ref="AQ62" si="6">AH62*AO62+AP62</f>
        <v>8800</v>
      </c>
      <c r="AR62" s="168">
        <f t="shared" ref="AR62" si="7">AJ63/8*AO62</f>
        <v>2200</v>
      </c>
      <c r="AS62" s="168">
        <f t="shared" ref="AS62" si="8">AQ62+AR62</f>
        <v>11000</v>
      </c>
      <c r="AU62" s="46"/>
    </row>
    <row r="63" spans="1:47" x14ac:dyDescent="0.25">
      <c r="A63" s="132"/>
      <c r="B63" s="183"/>
      <c r="C63" s="13"/>
      <c r="D63" s="13"/>
      <c r="E63" s="9"/>
      <c r="F63" s="9"/>
      <c r="G63" s="9"/>
      <c r="H63" s="9"/>
      <c r="I63" s="9"/>
      <c r="J63" s="9"/>
      <c r="K63" s="9"/>
      <c r="L63" s="9"/>
      <c r="M63" s="9"/>
      <c r="N63" s="13"/>
      <c r="O63" s="13"/>
      <c r="P63" s="13"/>
      <c r="Q63" s="13"/>
      <c r="R63" s="13"/>
      <c r="S63" s="13"/>
      <c r="T63" s="13"/>
      <c r="U63" s="13"/>
      <c r="V63" s="13">
        <v>3</v>
      </c>
      <c r="W63" s="13">
        <v>2</v>
      </c>
      <c r="X63" s="13"/>
      <c r="Y63" s="13">
        <v>2</v>
      </c>
      <c r="Z63" s="13">
        <v>2</v>
      </c>
      <c r="AA63" s="13">
        <v>2</v>
      </c>
      <c r="AB63" s="13">
        <v>3</v>
      </c>
      <c r="AC63" s="13">
        <v>1</v>
      </c>
      <c r="AD63" s="13"/>
      <c r="AE63" s="13"/>
      <c r="AF63" s="13">
        <v>4</v>
      </c>
      <c r="AG63" s="9">
        <v>3</v>
      </c>
      <c r="AH63" s="135"/>
      <c r="AI63" s="135"/>
      <c r="AJ63" s="15">
        <f>SUM(C63:AG63)</f>
        <v>22</v>
      </c>
      <c r="AK63" s="172"/>
      <c r="AL63" s="172"/>
      <c r="AM63" s="172"/>
      <c r="AN63" s="172"/>
      <c r="AO63" s="172"/>
      <c r="AP63" s="172"/>
      <c r="AQ63" s="172"/>
      <c r="AR63" s="169"/>
      <c r="AS63" s="169"/>
      <c r="AU63" s="46"/>
    </row>
    <row r="64" spans="1:47" x14ac:dyDescent="0.25">
      <c r="A64" s="133"/>
      <c r="B64" s="184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36"/>
      <c r="AI64" s="136"/>
      <c r="AJ64" s="16"/>
      <c r="AK64" s="173"/>
      <c r="AL64" s="173"/>
      <c r="AM64" s="173"/>
      <c r="AN64" s="173"/>
      <c r="AO64" s="173"/>
      <c r="AP64" s="173"/>
      <c r="AQ64" s="173"/>
      <c r="AR64" s="170"/>
      <c r="AS64" s="170"/>
      <c r="AU64" s="46"/>
    </row>
    <row r="65" spans="1:47" x14ac:dyDescent="0.25">
      <c r="A65" s="131">
        <v>21</v>
      </c>
      <c r="B65" s="182" t="s">
        <v>108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 t="s">
        <v>41</v>
      </c>
      <c r="AB65" s="1" t="s">
        <v>41</v>
      </c>
      <c r="AC65" s="1" t="s">
        <v>41</v>
      </c>
      <c r="AD65" s="1" t="s">
        <v>41</v>
      </c>
      <c r="AE65" s="1" t="s">
        <v>41</v>
      </c>
      <c r="AF65" s="1" t="s">
        <v>41</v>
      </c>
      <c r="AG65" s="1" t="s">
        <v>41</v>
      </c>
      <c r="AH65" s="134">
        <f>COUNTIF(C65:AG65,"P")</f>
        <v>7</v>
      </c>
      <c r="AI65" s="134">
        <f>COUNTIF(D65:AH65,"P/2")</f>
        <v>0</v>
      </c>
      <c r="AJ65" s="15"/>
      <c r="AK65" s="171">
        <f t="shared" ref="AK65" si="9">COUNTIF(C67:AG67,"BAAS")</f>
        <v>0</v>
      </c>
      <c r="AL65" s="171">
        <f t="shared" ref="AL65" si="10">COUNTIF(D67:AH67,"RCML")</f>
        <v>0</v>
      </c>
      <c r="AM65" s="171">
        <f t="shared" ref="AM65" si="11">COUNTIF(E67:AJ67,"PRE")</f>
        <v>0</v>
      </c>
      <c r="AN65" s="171">
        <f t="shared" ref="AN65" si="12">COUNTIF(F67:AK67,"BAKR")</f>
        <v>0</v>
      </c>
      <c r="AO65" s="171">
        <v>700</v>
      </c>
      <c r="AP65" s="171">
        <f t="shared" ref="AP65" si="13">AO65*AI65/2</f>
        <v>0</v>
      </c>
      <c r="AQ65" s="171">
        <f t="shared" ref="AQ65" si="14">AH65*AO65+AP65</f>
        <v>4900</v>
      </c>
      <c r="AR65" s="168">
        <f t="shared" ref="AR65" si="15">AJ66/8*AO65</f>
        <v>787.5</v>
      </c>
      <c r="AS65" s="168">
        <f t="shared" ref="AS65" si="16">AQ65+AR65</f>
        <v>5687.5</v>
      </c>
      <c r="AU65" s="46"/>
    </row>
    <row r="66" spans="1:47" x14ac:dyDescent="0.25">
      <c r="A66" s="132"/>
      <c r="B66" s="183"/>
      <c r="C66" s="13"/>
      <c r="D66" s="13"/>
      <c r="E66" s="9"/>
      <c r="F66" s="9"/>
      <c r="G66" s="9"/>
      <c r="H66" s="9"/>
      <c r="I66" s="9"/>
      <c r="J66" s="9"/>
      <c r="K66" s="9"/>
      <c r="L66" s="9"/>
      <c r="M66" s="9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>
        <v>2</v>
      </c>
      <c r="AB66" s="13"/>
      <c r="AC66" s="13"/>
      <c r="AD66" s="13"/>
      <c r="AE66" s="13"/>
      <c r="AF66" s="13">
        <v>4</v>
      </c>
      <c r="AG66" s="9">
        <v>3</v>
      </c>
      <c r="AH66" s="135"/>
      <c r="AI66" s="135"/>
      <c r="AJ66" s="15">
        <f>SUM(C66:AG66)</f>
        <v>9</v>
      </c>
      <c r="AK66" s="172"/>
      <c r="AL66" s="172"/>
      <c r="AM66" s="172"/>
      <c r="AN66" s="172"/>
      <c r="AO66" s="172"/>
      <c r="AP66" s="172"/>
      <c r="AQ66" s="172"/>
      <c r="AR66" s="169"/>
      <c r="AS66" s="169"/>
      <c r="AU66" s="46"/>
    </row>
    <row r="67" spans="1:47" x14ac:dyDescent="0.25">
      <c r="A67" s="133"/>
      <c r="B67" s="184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36"/>
      <c r="AI67" s="136"/>
      <c r="AJ67" s="16"/>
      <c r="AK67" s="173"/>
      <c r="AL67" s="173"/>
      <c r="AM67" s="173"/>
      <c r="AN67" s="173"/>
      <c r="AO67" s="173"/>
      <c r="AP67" s="173"/>
      <c r="AQ67" s="173"/>
      <c r="AR67" s="170"/>
      <c r="AS67" s="170"/>
      <c r="AU67" s="46"/>
    </row>
    <row r="68" spans="1:47" x14ac:dyDescent="0.25">
      <c r="A68" s="131">
        <v>22</v>
      </c>
      <c r="B68" s="182" t="s">
        <v>64</v>
      </c>
      <c r="C68" s="1" t="s">
        <v>41</v>
      </c>
      <c r="D68" s="1" t="s">
        <v>41</v>
      </c>
      <c r="E68" s="1" t="s">
        <v>41</v>
      </c>
      <c r="F68" s="1" t="s">
        <v>52</v>
      </c>
      <c r="G68" s="1" t="s">
        <v>52</v>
      </c>
      <c r="H68" s="1" t="s">
        <v>52</v>
      </c>
      <c r="I68" s="1" t="s">
        <v>52</v>
      </c>
      <c r="J68" s="1" t="s">
        <v>52</v>
      </c>
      <c r="K68" s="1" t="s">
        <v>52</v>
      </c>
      <c r="L68" s="1" t="s">
        <v>52</v>
      </c>
      <c r="M68" s="1" t="s">
        <v>52</v>
      </c>
      <c r="N68" s="1" t="s">
        <v>52</v>
      </c>
      <c r="O68" s="1" t="s">
        <v>52</v>
      </c>
      <c r="P68" s="1" t="s">
        <v>52</v>
      </c>
      <c r="Q68" s="1" t="s">
        <v>52</v>
      </c>
      <c r="R68" s="1" t="s">
        <v>52</v>
      </c>
      <c r="S68" s="1" t="s">
        <v>52</v>
      </c>
      <c r="T68" s="1" t="s">
        <v>52</v>
      </c>
      <c r="U68" s="1" t="s">
        <v>52</v>
      </c>
      <c r="V68" s="1" t="s">
        <v>52</v>
      </c>
      <c r="W68" s="1" t="s">
        <v>52</v>
      </c>
      <c r="X68" s="1" t="s">
        <v>52</v>
      </c>
      <c r="Y68" s="1" t="s">
        <v>52</v>
      </c>
      <c r="Z68" s="1" t="s">
        <v>52</v>
      </c>
      <c r="AA68" s="1" t="s">
        <v>52</v>
      </c>
      <c r="AB68" s="1" t="s">
        <v>52</v>
      </c>
      <c r="AC68" s="1" t="s">
        <v>52</v>
      </c>
      <c r="AD68" s="1" t="s">
        <v>52</v>
      </c>
      <c r="AE68" s="1" t="s">
        <v>52</v>
      </c>
      <c r="AF68" s="1" t="s">
        <v>52</v>
      </c>
      <c r="AG68" s="1" t="s">
        <v>52</v>
      </c>
      <c r="AH68" s="134">
        <f>COUNTIF(C68:AG68,"P")</f>
        <v>3</v>
      </c>
      <c r="AI68" s="134">
        <f>COUNTIF(D68:AH68,"P/2")</f>
        <v>0</v>
      </c>
      <c r="AJ68" s="15"/>
      <c r="AK68" s="171">
        <f t="shared" ref="AK68" si="17">COUNTIF(C70:AG70,"BAAS")</f>
        <v>0</v>
      </c>
      <c r="AL68" s="171">
        <f t="shared" ref="AL68" si="18">COUNTIF(D70:AH70,"RCML")</f>
        <v>0</v>
      </c>
      <c r="AM68" s="171">
        <f t="shared" ref="AM68" si="19">COUNTIF(E70:AJ70,"PRE")</f>
        <v>0</v>
      </c>
      <c r="AN68" s="171">
        <f t="shared" ref="AN68" si="20">COUNTIF(F70:AK70,"BAKR")</f>
        <v>0</v>
      </c>
      <c r="AO68" s="171">
        <v>700</v>
      </c>
      <c r="AP68" s="171">
        <f t="shared" ref="AP68" si="21">AO68*AI68/2</f>
        <v>0</v>
      </c>
      <c r="AQ68" s="171">
        <f t="shared" ref="AQ68" si="22">AH68*AO68+AP68</f>
        <v>2100</v>
      </c>
      <c r="AR68" s="168">
        <f t="shared" ref="AR68" si="23">AJ69/8*AO68</f>
        <v>175</v>
      </c>
      <c r="AS68" s="168">
        <f t="shared" ref="AS68" si="24">AQ68+AR68</f>
        <v>2275</v>
      </c>
      <c r="AU68" s="46"/>
    </row>
    <row r="69" spans="1:47" x14ac:dyDescent="0.25">
      <c r="A69" s="132"/>
      <c r="B69" s="183"/>
      <c r="C69" s="10"/>
      <c r="D69" s="11">
        <v>1</v>
      </c>
      <c r="E69" s="11">
        <v>1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35"/>
      <c r="AI69" s="135"/>
      <c r="AJ69" s="15">
        <f>SUM(C69:AG69)</f>
        <v>2</v>
      </c>
      <c r="AK69" s="172"/>
      <c r="AL69" s="172"/>
      <c r="AM69" s="172"/>
      <c r="AN69" s="172"/>
      <c r="AO69" s="172"/>
      <c r="AP69" s="172"/>
      <c r="AQ69" s="172"/>
      <c r="AR69" s="169"/>
      <c r="AS69" s="169"/>
      <c r="AU69" s="46"/>
    </row>
    <row r="70" spans="1:47" x14ac:dyDescent="0.25">
      <c r="A70" s="133"/>
      <c r="B70" s="184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36"/>
      <c r="AI70" s="136"/>
      <c r="AJ70" s="16"/>
      <c r="AK70" s="173"/>
      <c r="AL70" s="173"/>
      <c r="AM70" s="173"/>
      <c r="AN70" s="173"/>
      <c r="AO70" s="173"/>
      <c r="AP70" s="173"/>
      <c r="AQ70" s="173"/>
      <c r="AR70" s="170"/>
      <c r="AS70" s="170"/>
      <c r="AU70" s="46"/>
    </row>
    <row r="71" spans="1:47" x14ac:dyDescent="0.25">
      <c r="AH71" s="51">
        <f t="shared" ref="AH71:AQ71" si="25">SUM(AH5:AH68)</f>
        <v>380</v>
      </c>
      <c r="AI71" s="51">
        <f t="shared" si="25"/>
        <v>11</v>
      </c>
      <c r="AJ71" s="51">
        <f t="shared" si="25"/>
        <v>906</v>
      </c>
      <c r="AK71" s="51">
        <f t="shared" si="25"/>
        <v>0</v>
      </c>
      <c r="AL71" s="51">
        <f t="shared" si="25"/>
        <v>0</v>
      </c>
      <c r="AM71" s="51">
        <f t="shared" si="25"/>
        <v>0</v>
      </c>
      <c r="AN71" s="51">
        <f t="shared" si="25"/>
        <v>0</v>
      </c>
      <c r="AO71" s="51">
        <f t="shared" si="25"/>
        <v>16100</v>
      </c>
      <c r="AP71" s="51">
        <f t="shared" si="25"/>
        <v>4150</v>
      </c>
      <c r="AQ71" s="51">
        <f t="shared" si="25"/>
        <v>290950</v>
      </c>
      <c r="AR71" s="51">
        <f>SUM(AR5:AR68)</f>
        <v>86037.5</v>
      </c>
      <c r="AS71" s="46">
        <f>SUM(AS5:AS68)</f>
        <v>376987.5</v>
      </c>
      <c r="AU71" s="46"/>
    </row>
    <row r="72" spans="1:47" x14ac:dyDescent="0.25">
      <c r="B72" s="33" t="s">
        <v>58</v>
      </c>
      <c r="C72" s="26"/>
      <c r="D72" s="26"/>
    </row>
    <row r="73" spans="1:47" x14ac:dyDescent="0.25">
      <c r="B73" s="33" t="s">
        <v>82</v>
      </c>
      <c r="C73" s="26"/>
      <c r="D73" s="26"/>
    </row>
    <row r="74" spans="1:47" x14ac:dyDescent="0.25">
      <c r="B74" s="33"/>
      <c r="C74" s="26"/>
      <c r="D74" s="26"/>
      <c r="AJ74"/>
      <c r="AS74" s="46"/>
    </row>
    <row r="75" spans="1:47" x14ac:dyDescent="0.25">
      <c r="B75" s="33" t="s">
        <v>84</v>
      </c>
      <c r="C75" s="26"/>
      <c r="D75" s="26"/>
      <c r="AJ75"/>
    </row>
  </sheetData>
  <mergeCells count="301">
    <mergeCell ref="AP68:AP70"/>
    <mergeCell ref="AQ68:AQ70"/>
    <mergeCell ref="AR68:AR70"/>
    <mergeCell ref="AS68:AS70"/>
    <mergeCell ref="A68:A70"/>
    <mergeCell ref="B68:B70"/>
    <mergeCell ref="AH68:AH70"/>
    <mergeCell ref="AI68:AI70"/>
    <mergeCell ref="AK68:AK70"/>
    <mergeCell ref="AL68:AL70"/>
    <mergeCell ref="AM68:AM70"/>
    <mergeCell ref="AN68:AN70"/>
    <mergeCell ref="AO68:AO70"/>
    <mergeCell ref="AN62:AN64"/>
    <mergeCell ref="AO62:AO64"/>
    <mergeCell ref="AP62:AP64"/>
    <mergeCell ref="AQ62:AQ64"/>
    <mergeCell ref="AR62:AR64"/>
    <mergeCell ref="AS62:AS64"/>
    <mergeCell ref="AK65:AK67"/>
    <mergeCell ref="AL65:AL67"/>
    <mergeCell ref="AM65:AM67"/>
    <mergeCell ref="AN65:AN67"/>
    <mergeCell ref="AO65:AO67"/>
    <mergeCell ref="AP65:AP67"/>
    <mergeCell ref="AQ65:AQ67"/>
    <mergeCell ref="AR65:AR67"/>
    <mergeCell ref="AS65:AS67"/>
    <mergeCell ref="AL62:AL64"/>
    <mergeCell ref="AM62:AM64"/>
    <mergeCell ref="A65:A67"/>
    <mergeCell ref="B65:B67"/>
    <mergeCell ref="AH65:AH67"/>
    <mergeCell ref="AI65:AI67"/>
    <mergeCell ref="A62:A64"/>
    <mergeCell ref="B62:B64"/>
    <mergeCell ref="AH62:AH64"/>
    <mergeCell ref="AI62:AI64"/>
    <mergeCell ref="AK62:AK64"/>
    <mergeCell ref="AS56:AS58"/>
    <mergeCell ref="A59:A61"/>
    <mergeCell ref="B59:B61"/>
    <mergeCell ref="AH59:AH61"/>
    <mergeCell ref="AI59:AI61"/>
    <mergeCell ref="AK59:AK61"/>
    <mergeCell ref="A56:A58"/>
    <mergeCell ref="B56:B58"/>
    <mergeCell ref="AH56:AH58"/>
    <mergeCell ref="AI56:AI58"/>
    <mergeCell ref="AK56:AK58"/>
    <mergeCell ref="AL56:AL58"/>
    <mergeCell ref="AM56:AM58"/>
    <mergeCell ref="AN56:AN58"/>
    <mergeCell ref="AR59:AR61"/>
    <mergeCell ref="AS59:AS61"/>
    <mergeCell ref="AO59:AO61"/>
    <mergeCell ref="AP59:AP61"/>
    <mergeCell ref="AQ59:AQ61"/>
    <mergeCell ref="AQ50:AQ52"/>
    <mergeCell ref="AR50:AR52"/>
    <mergeCell ref="AL59:AL61"/>
    <mergeCell ref="AM59:AM61"/>
    <mergeCell ref="AN59:AN61"/>
    <mergeCell ref="AO56:AO58"/>
    <mergeCell ref="AP56:AP58"/>
    <mergeCell ref="AQ56:AQ58"/>
    <mergeCell ref="AR56:AR58"/>
    <mergeCell ref="AS50:AS52"/>
    <mergeCell ref="A53:A55"/>
    <mergeCell ref="B53:B55"/>
    <mergeCell ref="AH53:AH55"/>
    <mergeCell ref="AI53:AI55"/>
    <mergeCell ref="AK53:AK55"/>
    <mergeCell ref="AR53:AR55"/>
    <mergeCell ref="AS53:AS55"/>
    <mergeCell ref="AO53:AO55"/>
    <mergeCell ref="AP53:AP55"/>
    <mergeCell ref="AQ53:AQ55"/>
    <mergeCell ref="A50:A52"/>
    <mergeCell ref="B50:B52"/>
    <mergeCell ref="AH50:AH52"/>
    <mergeCell ref="AI50:AI52"/>
    <mergeCell ref="AK50:AK52"/>
    <mergeCell ref="AL50:AL52"/>
    <mergeCell ref="AM50:AM52"/>
    <mergeCell ref="AN50:AN52"/>
    <mergeCell ref="AL53:AL55"/>
    <mergeCell ref="AM53:AM55"/>
    <mergeCell ref="AN53:AN55"/>
    <mergeCell ref="AO50:AO52"/>
    <mergeCell ref="AP50:AP52"/>
    <mergeCell ref="AL47:AL49"/>
    <mergeCell ref="AM47:AM49"/>
    <mergeCell ref="AN47:AN49"/>
    <mergeCell ref="AO44:AO46"/>
    <mergeCell ref="AP44:AP46"/>
    <mergeCell ref="AQ44:AQ46"/>
    <mergeCell ref="AR44:AR46"/>
    <mergeCell ref="AS44:AS46"/>
    <mergeCell ref="A47:A49"/>
    <mergeCell ref="B47:B49"/>
    <mergeCell ref="AH47:AH49"/>
    <mergeCell ref="AI47:AI49"/>
    <mergeCell ref="AK47:AK49"/>
    <mergeCell ref="AR47:AR49"/>
    <mergeCell ref="AS47:AS49"/>
    <mergeCell ref="AO47:AO49"/>
    <mergeCell ref="AP47:AP49"/>
    <mergeCell ref="AQ47:AQ49"/>
    <mergeCell ref="A44:A46"/>
    <mergeCell ref="B44:B46"/>
    <mergeCell ref="AH44:AH46"/>
    <mergeCell ref="AI44:AI46"/>
    <mergeCell ref="AK44:AK46"/>
    <mergeCell ref="AL44:AL46"/>
    <mergeCell ref="AM44:AM46"/>
    <mergeCell ref="AN44:AN46"/>
    <mergeCell ref="AL41:AL43"/>
    <mergeCell ref="AM41:AM43"/>
    <mergeCell ref="AN41:AN43"/>
    <mergeCell ref="AO38:AO40"/>
    <mergeCell ref="AP38:AP40"/>
    <mergeCell ref="AQ38:AQ40"/>
    <mergeCell ref="AR38:AR40"/>
    <mergeCell ref="AS38:AS40"/>
    <mergeCell ref="A41:A43"/>
    <mergeCell ref="B41:B43"/>
    <mergeCell ref="AH41:AH43"/>
    <mergeCell ref="AI41:AI43"/>
    <mergeCell ref="AK41:AK43"/>
    <mergeCell ref="AR41:AR43"/>
    <mergeCell ref="AS41:AS43"/>
    <mergeCell ref="AO41:AO43"/>
    <mergeCell ref="AP41:AP43"/>
    <mergeCell ref="AQ41:AQ43"/>
    <mergeCell ref="A38:A40"/>
    <mergeCell ref="B38:B40"/>
    <mergeCell ref="AH38:AH40"/>
    <mergeCell ref="AI38:AI40"/>
    <mergeCell ref="AK38:AK40"/>
    <mergeCell ref="AL38:AL40"/>
    <mergeCell ref="AM38:AM40"/>
    <mergeCell ref="AN38:AN40"/>
    <mergeCell ref="AL35:AL37"/>
    <mergeCell ref="AM35:AM37"/>
    <mergeCell ref="AN35:AN37"/>
    <mergeCell ref="AO32:AO34"/>
    <mergeCell ref="AP32:AP34"/>
    <mergeCell ref="AQ32:AQ34"/>
    <mergeCell ref="AR32:AR34"/>
    <mergeCell ref="AS32:AS34"/>
    <mergeCell ref="A35:A37"/>
    <mergeCell ref="B35:B37"/>
    <mergeCell ref="AH35:AH37"/>
    <mergeCell ref="AI35:AI37"/>
    <mergeCell ref="AK35:AK37"/>
    <mergeCell ref="AR35:AR37"/>
    <mergeCell ref="AS35:AS37"/>
    <mergeCell ref="AO35:AO37"/>
    <mergeCell ref="AP35:AP37"/>
    <mergeCell ref="AQ35:AQ37"/>
    <mergeCell ref="A32:A34"/>
    <mergeCell ref="B32:B34"/>
    <mergeCell ref="AH32:AH34"/>
    <mergeCell ref="AI32:AI34"/>
    <mergeCell ref="AK32:AK34"/>
    <mergeCell ref="AL32:AL34"/>
    <mergeCell ref="AM32:AM34"/>
    <mergeCell ref="AN32:AN34"/>
    <mergeCell ref="AL29:AL31"/>
    <mergeCell ref="AM29:AM31"/>
    <mergeCell ref="AN29:AN31"/>
    <mergeCell ref="AO26:AO28"/>
    <mergeCell ref="AP26:AP28"/>
    <mergeCell ref="AQ26:AQ28"/>
    <mergeCell ref="AR26:AR28"/>
    <mergeCell ref="AS26:AS28"/>
    <mergeCell ref="A29:A31"/>
    <mergeCell ref="B29:B31"/>
    <mergeCell ref="AH29:AH31"/>
    <mergeCell ref="AI29:AI31"/>
    <mergeCell ref="AK29:AK31"/>
    <mergeCell ref="AR29:AR31"/>
    <mergeCell ref="AS29:AS31"/>
    <mergeCell ref="AO29:AO31"/>
    <mergeCell ref="AP29:AP31"/>
    <mergeCell ref="AQ29:AQ31"/>
    <mergeCell ref="A26:A28"/>
    <mergeCell ref="B26:B28"/>
    <mergeCell ref="AH26:AH28"/>
    <mergeCell ref="AI26:AI28"/>
    <mergeCell ref="AK26:AK28"/>
    <mergeCell ref="AL26:AL28"/>
    <mergeCell ref="AR20:AR22"/>
    <mergeCell ref="AS20:AS22"/>
    <mergeCell ref="A23:A25"/>
    <mergeCell ref="B23:B25"/>
    <mergeCell ref="AH23:AH25"/>
    <mergeCell ref="AI23:AI25"/>
    <mergeCell ref="AK23:AK25"/>
    <mergeCell ref="AR23:AR25"/>
    <mergeCell ref="AS23:AS25"/>
    <mergeCell ref="AO23:AO25"/>
    <mergeCell ref="AP23:AP25"/>
    <mergeCell ref="AQ23:AQ25"/>
    <mergeCell ref="AM20:AM22"/>
    <mergeCell ref="AN20:AN22"/>
    <mergeCell ref="A20:A22"/>
    <mergeCell ref="B20:B22"/>
    <mergeCell ref="AH20:AH22"/>
    <mergeCell ref="AI20:AI22"/>
    <mergeCell ref="AK20:AK22"/>
    <mergeCell ref="AP17:AP19"/>
    <mergeCell ref="AQ17:AQ19"/>
    <mergeCell ref="AO20:AO22"/>
    <mergeCell ref="AP20:AP22"/>
    <mergeCell ref="AQ20:AQ22"/>
    <mergeCell ref="AL20:AL22"/>
    <mergeCell ref="AM26:AM28"/>
    <mergeCell ref="AN26:AN28"/>
    <mergeCell ref="AL23:AL25"/>
    <mergeCell ref="AM23:AM25"/>
    <mergeCell ref="AN23:AN25"/>
    <mergeCell ref="AP14:AP16"/>
    <mergeCell ref="AQ14:AQ16"/>
    <mergeCell ref="AR14:AR16"/>
    <mergeCell ref="AS14:AS16"/>
    <mergeCell ref="A17:A19"/>
    <mergeCell ref="B17:B19"/>
    <mergeCell ref="AH17:AH19"/>
    <mergeCell ref="AI17:AI19"/>
    <mergeCell ref="AK17:AK19"/>
    <mergeCell ref="AR17:AR19"/>
    <mergeCell ref="AS17:AS19"/>
    <mergeCell ref="A14:A16"/>
    <mergeCell ref="B14:B16"/>
    <mergeCell ref="AH14:AH16"/>
    <mergeCell ref="AI14:AI16"/>
    <mergeCell ref="AK14:AK16"/>
    <mergeCell ref="AL14:AL16"/>
    <mergeCell ref="AM14:AM16"/>
    <mergeCell ref="AN14:AN16"/>
    <mergeCell ref="AO14:AO16"/>
    <mergeCell ref="AL17:AL19"/>
    <mergeCell ref="AM17:AM19"/>
    <mergeCell ref="AN17:AN19"/>
    <mergeCell ref="AO17:AO19"/>
    <mergeCell ref="AQ8:AQ10"/>
    <mergeCell ref="AR8:AR10"/>
    <mergeCell ref="AS8:AS10"/>
    <mergeCell ref="A11:A13"/>
    <mergeCell ref="B11:B13"/>
    <mergeCell ref="AH11:AH13"/>
    <mergeCell ref="AI11:AI13"/>
    <mergeCell ref="AK11:AK13"/>
    <mergeCell ref="AR11:AR13"/>
    <mergeCell ref="AS11:AS13"/>
    <mergeCell ref="AL11:AL13"/>
    <mergeCell ref="AM11:AM13"/>
    <mergeCell ref="AN11:AN13"/>
    <mergeCell ref="AO11:AO13"/>
    <mergeCell ref="AP11:AP13"/>
    <mergeCell ref="AQ11:AQ13"/>
    <mergeCell ref="AR5:AR7"/>
    <mergeCell ref="AS5:AS7"/>
    <mergeCell ref="A8:A10"/>
    <mergeCell ref="B8:B10"/>
    <mergeCell ref="AH8:AH10"/>
    <mergeCell ref="AI8:AI10"/>
    <mergeCell ref="AK8:AK10"/>
    <mergeCell ref="AL8:AL10"/>
    <mergeCell ref="AM8:AM10"/>
    <mergeCell ref="AN8:AN10"/>
    <mergeCell ref="AL5:AL7"/>
    <mergeCell ref="AM5:AM7"/>
    <mergeCell ref="AN5:AN7"/>
    <mergeCell ref="AO5:AO7"/>
    <mergeCell ref="AP5:AP7"/>
    <mergeCell ref="AQ5:AQ7"/>
    <mergeCell ref="A5:A7"/>
    <mergeCell ref="B5:B7"/>
    <mergeCell ref="AH5:AH7"/>
    <mergeCell ref="AI5:AI7"/>
    <mergeCell ref="AJ5:AJ7"/>
    <mergeCell ref="AK5:AK7"/>
    <mergeCell ref="AO8:AO10"/>
    <mergeCell ref="AP8:AP10"/>
    <mergeCell ref="AP3:AP4"/>
    <mergeCell ref="A1:AJ1"/>
    <mergeCell ref="A2:AJ2"/>
    <mergeCell ref="A3:A4"/>
    <mergeCell ref="B3:B4"/>
    <mergeCell ref="C3:AG3"/>
    <mergeCell ref="AH3:AH4"/>
    <mergeCell ref="AI3:AI4"/>
    <mergeCell ref="AJ3:AJ4"/>
    <mergeCell ref="AK3:AK4"/>
    <mergeCell ref="AL3:AL4"/>
    <mergeCell ref="AM3:AM4"/>
    <mergeCell ref="AN3:AN4"/>
    <mergeCell ref="AO3:AO4"/>
  </mergeCells>
  <conditionalFormatting sqref="G5">
    <cfRule type="containsText" dxfId="703" priority="410" operator="containsText" text="P">
      <formula>NOT(ISERROR(SEARCH("P",G5)))</formula>
    </cfRule>
    <cfRule type="containsText" dxfId="702" priority="416" operator="containsText" text="A">
      <formula>NOT(ISERROR(SEARCH("A",G5)))</formula>
    </cfRule>
    <cfRule type="containsText" dxfId="701" priority="417" operator="containsText" text="P">
      <formula>NOT(ISERROR(SEARCH("P",G5)))</formula>
    </cfRule>
  </conditionalFormatting>
  <conditionalFormatting sqref="C5:AG34">
    <cfRule type="containsText" dxfId="700" priority="415" operator="containsText" text="AB">
      <formula>NOT(ISERROR(SEARCH("AB",C5)))</formula>
    </cfRule>
  </conditionalFormatting>
  <conditionalFormatting sqref="C40:AG40 E38:M39 O38:P39 R38:U39 AG38:AG39">
    <cfRule type="containsText" dxfId="699" priority="413" operator="containsText" text="AB">
      <formula>NOT(ISERROR(SEARCH("AB",C38)))</formula>
    </cfRule>
  </conditionalFormatting>
  <conditionalFormatting sqref="C37:AG37 E36:I36 K36:M36 P36:Z36 AD36:AE36 AG36 E35 P35:Q35">
    <cfRule type="containsText" dxfId="698" priority="414" operator="containsText" text="AB">
      <formula>NOT(ISERROR(SEARCH("AB",C35)))</formula>
    </cfRule>
  </conditionalFormatting>
  <conditionalFormatting sqref="A1:XFD3 A4 AQ4:XFD4 A72:XFD1048576 AT5:XFD30 AT31:AT40 AV31:XFD40 A6:A40 C6:AI7 C40:AI40 E38:M39 C37:AI37 E36:I36 K36:M36 P36:Z36 O38:P39 AD36:AE36 AG36:AI36 R38:U39 AG38:AI39 AT54:AT55 AV56 C4:AJ4 C32:AI34 A5:AO5 E35 P35:Q35 AH35:AI35 C8:AJ31 AU31:AU61 AT62:AT70 AU62:XFD71 AJ32:AJ70 A71:AT71">
    <cfRule type="containsText" dxfId="697" priority="411" operator="containsText" text="AB">
      <formula>NOT(ISERROR(SEARCH("AB",A1)))</formula>
    </cfRule>
    <cfRule type="containsText" dxfId="696" priority="412" operator="containsText" text="AB">
      <formula>NOT(ISERROR(SEARCH("AB",A1)))</formula>
    </cfRule>
  </conditionalFormatting>
  <conditionalFormatting sqref="C43:AA43 AC42:AD42 D42:AA42 AC43:AE43 AG42:AG43">
    <cfRule type="containsText" dxfId="695" priority="409" operator="containsText" text="AB">
      <formula>NOT(ISERROR(SEARCH("AB",C42)))</formula>
    </cfRule>
  </conditionalFormatting>
  <conditionalFormatting sqref="A41:A43 C43:AA43 AT41:AT43 AV41:XFD43 AC42:AD42 D42:AA42 AC43:AE43 AG42:AI43 AH41:AI41">
    <cfRule type="containsText" dxfId="694" priority="407" operator="containsText" text="AB">
      <formula>NOT(ISERROR(SEARCH("AB",A41)))</formula>
    </cfRule>
    <cfRule type="containsText" dxfId="693" priority="408" operator="containsText" text="AB">
      <formula>NOT(ISERROR(SEARCH("AB",A41)))</formula>
    </cfRule>
  </conditionalFormatting>
  <conditionalFormatting sqref="AG45:AG46">
    <cfRule type="containsText" dxfId="692" priority="406" operator="containsText" text="AB">
      <formula>NOT(ISERROR(SEARCH("AB",AG45)))</formula>
    </cfRule>
  </conditionalFormatting>
  <conditionalFormatting sqref="A44:A46 AG45:AI46 AH44:AI44 AT44:AT46 AV44:XFD46">
    <cfRule type="containsText" dxfId="691" priority="404" operator="containsText" text="AB">
      <formula>NOT(ISERROR(SEARCH("AB",A44)))</formula>
    </cfRule>
    <cfRule type="containsText" dxfId="690" priority="405" operator="containsText" text="AB">
      <formula>NOT(ISERROR(SEARCH("AB",A44)))</formula>
    </cfRule>
  </conditionalFormatting>
  <conditionalFormatting sqref="A47:A49 AH47:AI49 AT47:AT49 AV47:XFD49">
    <cfRule type="containsText" dxfId="689" priority="402" operator="containsText" text="AB">
      <formula>NOT(ISERROR(SEARCH("AB",A47)))</formula>
    </cfRule>
    <cfRule type="containsText" dxfId="688" priority="403" operator="containsText" text="AB">
      <formula>NOT(ISERROR(SEARCH("AB",A47)))</formula>
    </cfRule>
  </conditionalFormatting>
  <conditionalFormatting sqref="C52:AG52 K51:M51 AG51 E51:H51 P51:U51 W51:AA51 AC51:AD51 E50:AG50">
    <cfRule type="containsText" dxfId="687" priority="401" operator="containsText" text="AB">
      <formula>NOT(ISERROR(SEARCH("AB",C50)))</formula>
    </cfRule>
  </conditionalFormatting>
  <conditionalFormatting sqref="A50:A52 C52:AI52 AT50:AT52 AV50:XFD52 K51:M51 AG51:AI51 E51:H51 P51:U51 W51:AA51 AC51:AD51 E50:AI50">
    <cfRule type="containsText" dxfId="686" priority="399" operator="containsText" text="AB">
      <formula>NOT(ISERROR(SEARCH("AB",A50)))</formula>
    </cfRule>
    <cfRule type="containsText" dxfId="685" priority="400" operator="containsText" text="AB">
      <formula>NOT(ISERROR(SEARCH("AB",A50)))</formula>
    </cfRule>
  </conditionalFormatting>
  <conditionalFormatting sqref="C55:AG55 AG54 E54:AA54 AC54:AE54 K53:AG53">
    <cfRule type="containsText" dxfId="684" priority="398" operator="containsText" text="AB">
      <formula>NOT(ISERROR(SEARCH("AB",C53)))</formula>
    </cfRule>
  </conditionalFormatting>
  <conditionalFormatting sqref="A53:A55 C55:AI55 AV53:XFD55 AG54:AI54 E54:AA54 AC54:AE54 K53:AI53">
    <cfRule type="containsText" dxfId="683" priority="396" operator="containsText" text="AB">
      <formula>NOT(ISERROR(SEARCH("AB",A53)))</formula>
    </cfRule>
    <cfRule type="containsText" dxfId="682" priority="397" operator="containsText" text="AB">
      <formula>NOT(ISERROR(SEARCH("AB",A53)))</formula>
    </cfRule>
  </conditionalFormatting>
  <conditionalFormatting sqref="C58:AG58 G57:X57 AG57 AD57 I56:AG56">
    <cfRule type="containsText" dxfId="681" priority="395" operator="containsText" text="AB">
      <formula>NOT(ISERROR(SEARCH("AB",C56)))</formula>
    </cfRule>
  </conditionalFormatting>
  <conditionalFormatting sqref="A56:A58 C58:AI58 AT56:AT58 AV56:XFD58 G57:X57 AG57:AI57 AD57 I56:AI56">
    <cfRule type="containsText" dxfId="680" priority="393" operator="containsText" text="AB">
      <formula>NOT(ISERROR(SEARCH("AB",A56)))</formula>
    </cfRule>
    <cfRule type="containsText" dxfId="679" priority="394" operator="containsText" text="AB">
      <formula>NOT(ISERROR(SEARCH("AB",A56)))</formula>
    </cfRule>
  </conditionalFormatting>
  <conditionalFormatting sqref="C61:AG61 AG59:AG60">
    <cfRule type="containsText" dxfId="678" priority="392" operator="containsText" text="AB">
      <formula>NOT(ISERROR(SEARCH("AB",C59)))</formula>
    </cfRule>
  </conditionalFormatting>
  <conditionalFormatting sqref="A59:A61 C61:AI61 AT59:AT61 AV59:XFD61 AG59:AI60">
    <cfRule type="containsText" dxfId="677" priority="390" operator="containsText" text="AB">
      <formula>NOT(ISERROR(SEARCH("AB",A59)))</formula>
    </cfRule>
    <cfRule type="containsText" dxfId="676" priority="391" operator="containsText" text="AB">
      <formula>NOT(ISERROR(SEARCH("AB",A59)))</formula>
    </cfRule>
  </conditionalFormatting>
  <conditionalFormatting sqref="C46:AF46 E45:H45 J45:AA45 AC45:AE45 O44:AG44">
    <cfRule type="containsText" dxfId="675" priority="389" operator="containsText" text="AB">
      <formula>NOT(ISERROR(SEARCH("AB",C44)))</formula>
    </cfRule>
  </conditionalFormatting>
  <conditionalFormatting sqref="C46:AF46 E45:H45 J45:AA45 AC45:AE45 O44:AG44">
    <cfRule type="containsText" dxfId="674" priority="387" operator="containsText" text="AB">
      <formula>NOT(ISERROR(SEARCH("AB",C44)))</formula>
    </cfRule>
    <cfRule type="containsText" dxfId="673" priority="388" operator="containsText" text="AB">
      <formula>NOT(ISERROR(SEARCH("AB",C44)))</formula>
    </cfRule>
  </conditionalFormatting>
  <conditionalFormatting sqref="AG48:AG49">
    <cfRule type="containsText" dxfId="672" priority="386" operator="containsText" text="AB">
      <formula>NOT(ISERROR(SEARCH("AB",AG48)))</formula>
    </cfRule>
  </conditionalFormatting>
  <conditionalFormatting sqref="AG48:AG49">
    <cfRule type="containsText" dxfId="671" priority="384" operator="containsText" text="AB">
      <formula>NOT(ISERROR(SEARCH("AB",AG48)))</formula>
    </cfRule>
    <cfRule type="containsText" dxfId="670" priority="385" operator="containsText" text="AB">
      <formula>NOT(ISERROR(SEARCH("AB",AG48)))</formula>
    </cfRule>
  </conditionalFormatting>
  <conditionalFormatting sqref="C49:AF49 E48:H48 J48:AA48 AC48:AD48 N47:AG47">
    <cfRule type="containsText" dxfId="669" priority="383" operator="containsText" text="AB">
      <formula>NOT(ISERROR(SEARCH("AB",C47)))</formula>
    </cfRule>
  </conditionalFormatting>
  <conditionalFormatting sqref="C49:AF49 E48:H48 J48:AA48 AC48:AD48 N47:AG47">
    <cfRule type="containsText" dxfId="668" priority="381" operator="containsText" text="AB">
      <formula>NOT(ISERROR(SEARCH("AB",C47)))</formula>
    </cfRule>
    <cfRule type="containsText" dxfId="667" priority="382" operator="containsText" text="AB">
      <formula>NOT(ISERROR(SEARCH("AB",C47)))</formula>
    </cfRule>
  </conditionalFormatting>
  <conditionalFormatting sqref="B8">
    <cfRule type="containsText" dxfId="666" priority="379" operator="containsText" text="AB">
      <formula>NOT(ISERROR(SEARCH("AB",B8)))</formula>
    </cfRule>
    <cfRule type="containsText" dxfId="665" priority="380" operator="containsText" text="AB">
      <formula>NOT(ISERROR(SEARCH("AB",B8)))</formula>
    </cfRule>
  </conditionalFormatting>
  <conditionalFormatting sqref="B56">
    <cfRule type="containsText" dxfId="664" priority="377" operator="containsText" text="AB">
      <formula>NOT(ISERROR(SEARCH("AB",B56)))</formula>
    </cfRule>
    <cfRule type="containsText" dxfId="663" priority="378" operator="containsText" text="AB">
      <formula>NOT(ISERROR(SEARCH("AB",B56)))</formula>
    </cfRule>
  </conditionalFormatting>
  <conditionalFormatting sqref="B32">
    <cfRule type="containsText" dxfId="662" priority="375" operator="containsText" text="AB">
      <formula>NOT(ISERROR(SEARCH("AB",B32)))</formula>
    </cfRule>
    <cfRule type="containsText" dxfId="661" priority="376" operator="containsText" text="AB">
      <formula>NOT(ISERROR(SEARCH("AB",B32)))</formula>
    </cfRule>
  </conditionalFormatting>
  <conditionalFormatting sqref="B20">
    <cfRule type="containsText" dxfId="660" priority="373" operator="containsText" text="AB">
      <formula>NOT(ISERROR(SEARCH("AB",B20)))</formula>
    </cfRule>
    <cfRule type="containsText" dxfId="659" priority="374" operator="containsText" text="AB">
      <formula>NOT(ISERROR(SEARCH("AB",B20)))</formula>
    </cfRule>
  </conditionalFormatting>
  <conditionalFormatting sqref="B29">
    <cfRule type="containsText" dxfId="658" priority="371" operator="containsText" text="AB">
      <formula>NOT(ISERROR(SEARCH("AB",B29)))</formula>
    </cfRule>
    <cfRule type="containsText" dxfId="657" priority="372" operator="containsText" text="AB">
      <formula>NOT(ISERROR(SEARCH("AB",B29)))</formula>
    </cfRule>
  </conditionalFormatting>
  <conditionalFormatting sqref="B11">
    <cfRule type="containsText" dxfId="656" priority="369" operator="containsText" text="AB">
      <formula>NOT(ISERROR(SEARCH("AB",B11)))</formula>
    </cfRule>
    <cfRule type="containsText" dxfId="655" priority="370" operator="containsText" text="AB">
      <formula>NOT(ISERROR(SEARCH("AB",B11)))</formula>
    </cfRule>
  </conditionalFormatting>
  <conditionalFormatting sqref="B47">
    <cfRule type="containsText" dxfId="654" priority="367" operator="containsText" text="AB">
      <formula>NOT(ISERROR(SEARCH("AB",B47)))</formula>
    </cfRule>
    <cfRule type="containsText" dxfId="653" priority="368" operator="containsText" text="AB">
      <formula>NOT(ISERROR(SEARCH("AB",B47)))</formula>
    </cfRule>
  </conditionalFormatting>
  <conditionalFormatting sqref="B14">
    <cfRule type="containsText" dxfId="652" priority="365" operator="containsText" text="AB">
      <formula>NOT(ISERROR(SEARCH("AB",B14)))</formula>
    </cfRule>
    <cfRule type="containsText" dxfId="651" priority="366" operator="containsText" text="AB">
      <formula>NOT(ISERROR(SEARCH("AB",B14)))</formula>
    </cfRule>
  </conditionalFormatting>
  <conditionalFormatting sqref="B17">
    <cfRule type="containsText" dxfId="650" priority="363" operator="containsText" text="AB">
      <formula>NOT(ISERROR(SEARCH("AB",B17)))</formula>
    </cfRule>
    <cfRule type="containsText" dxfId="649" priority="364" operator="containsText" text="AB">
      <formula>NOT(ISERROR(SEARCH("AB",B17)))</formula>
    </cfRule>
  </conditionalFormatting>
  <conditionalFormatting sqref="B35">
    <cfRule type="containsText" dxfId="648" priority="361" operator="containsText" text="AB">
      <formula>NOT(ISERROR(SEARCH("AB",B35)))</formula>
    </cfRule>
    <cfRule type="containsText" dxfId="647" priority="362" operator="containsText" text="AB">
      <formula>NOT(ISERROR(SEARCH("AB",B35)))</formula>
    </cfRule>
  </conditionalFormatting>
  <conditionalFormatting sqref="B41">
    <cfRule type="containsText" dxfId="646" priority="359" operator="containsText" text="AB">
      <formula>NOT(ISERROR(SEARCH("AB",B41)))</formula>
    </cfRule>
    <cfRule type="containsText" dxfId="645" priority="360" operator="containsText" text="AB">
      <formula>NOT(ISERROR(SEARCH("AB",B41)))</formula>
    </cfRule>
  </conditionalFormatting>
  <conditionalFormatting sqref="B44">
    <cfRule type="containsText" dxfId="644" priority="357" operator="containsText" text="AB">
      <formula>NOT(ISERROR(SEARCH("AB",B44)))</formula>
    </cfRule>
    <cfRule type="containsText" dxfId="643" priority="358" operator="containsText" text="AB">
      <formula>NOT(ISERROR(SEARCH("AB",B44)))</formula>
    </cfRule>
  </conditionalFormatting>
  <conditionalFormatting sqref="B38">
    <cfRule type="containsText" dxfId="642" priority="355" operator="containsText" text="AB">
      <formula>NOT(ISERROR(SEARCH("AB",B38)))</formula>
    </cfRule>
    <cfRule type="containsText" dxfId="641" priority="356" operator="containsText" text="AB">
      <formula>NOT(ISERROR(SEARCH("AB",B38)))</formula>
    </cfRule>
  </conditionalFormatting>
  <conditionalFormatting sqref="B50">
    <cfRule type="containsText" dxfId="640" priority="353" operator="containsText" text="AB">
      <formula>NOT(ISERROR(SEARCH("AB",B50)))</formula>
    </cfRule>
    <cfRule type="containsText" dxfId="639" priority="354" operator="containsText" text="AB">
      <formula>NOT(ISERROR(SEARCH("AB",B50)))</formula>
    </cfRule>
  </conditionalFormatting>
  <conditionalFormatting sqref="B53">
    <cfRule type="containsText" dxfId="638" priority="351" operator="containsText" text="AB">
      <formula>NOT(ISERROR(SEARCH("AB",B53)))</formula>
    </cfRule>
    <cfRule type="containsText" dxfId="637" priority="352" operator="containsText" text="AB">
      <formula>NOT(ISERROR(SEARCH("AB",B53)))</formula>
    </cfRule>
  </conditionalFormatting>
  <conditionalFormatting sqref="B59">
    <cfRule type="containsText" dxfId="636" priority="349" operator="containsText" text="AB">
      <formula>NOT(ISERROR(SEARCH("AB",B59)))</formula>
    </cfRule>
    <cfRule type="containsText" dxfId="635" priority="350" operator="containsText" text="AB">
      <formula>NOT(ISERROR(SEARCH("AB",B59)))</formula>
    </cfRule>
  </conditionalFormatting>
  <conditionalFormatting sqref="B23">
    <cfRule type="containsText" dxfId="634" priority="347" operator="containsText" text="AB">
      <formula>NOT(ISERROR(SEARCH("AB",B23)))</formula>
    </cfRule>
    <cfRule type="containsText" dxfId="633" priority="348" operator="containsText" text="AB">
      <formula>NOT(ISERROR(SEARCH("AB",B23)))</formula>
    </cfRule>
  </conditionalFormatting>
  <conditionalFormatting sqref="B26">
    <cfRule type="containsText" dxfId="632" priority="340" operator="containsText" text="AB">
      <formula>NOT(ISERROR(SEARCH("AB",B26)))</formula>
    </cfRule>
    <cfRule type="containsText" dxfId="631" priority="341" operator="containsText" text="AB">
      <formula>NOT(ISERROR(SEARCH("AB",B26)))</formula>
    </cfRule>
  </conditionalFormatting>
  <conditionalFormatting sqref="AP5:AS5">
    <cfRule type="containsText" dxfId="630" priority="338" operator="containsText" text="AB">
      <formula>NOT(ISERROR(SEARCH("AB",AP5)))</formula>
    </cfRule>
    <cfRule type="containsText" dxfId="629" priority="339" operator="containsText" text="AB">
      <formula>NOT(ISERROR(SEARCH("AB",AP5)))</formula>
    </cfRule>
  </conditionalFormatting>
  <conditionalFormatting sqref="AK56:AS56 AK59:AS59 AK62:AS62 AK65:AS65 AK68:AS68">
    <cfRule type="containsText" dxfId="628" priority="330" operator="containsText" text="AB">
      <formula>NOT(ISERROR(SEARCH("AB",AK56)))</formula>
    </cfRule>
    <cfRule type="containsText" dxfId="627" priority="331" operator="containsText" text="AB">
      <formula>NOT(ISERROR(SEARCH("AB",AK56)))</formula>
    </cfRule>
  </conditionalFormatting>
  <conditionalFormatting sqref="AK8:AR8 AK11:AR11 AK14:AS14 AK17:AS17">
    <cfRule type="containsText" dxfId="626" priority="336" operator="containsText" text="AB">
      <formula>NOT(ISERROR(SEARCH("AB",AK8)))</formula>
    </cfRule>
    <cfRule type="containsText" dxfId="625" priority="337" operator="containsText" text="AB">
      <formula>NOT(ISERROR(SEARCH("AB",AK8)))</formula>
    </cfRule>
  </conditionalFormatting>
  <conditionalFormatting sqref="AK20:AS20 AK23:AS23 AK26:AS26 AK29:AS29 AK32:AS32">
    <cfRule type="containsText" dxfId="624" priority="334" operator="containsText" text="AB">
      <formula>NOT(ISERROR(SEARCH("AB",AK20)))</formula>
    </cfRule>
    <cfRule type="containsText" dxfId="623" priority="335" operator="containsText" text="AB">
      <formula>NOT(ISERROR(SEARCH("AB",AK20)))</formula>
    </cfRule>
  </conditionalFormatting>
  <conditionalFormatting sqref="AK35:AS35 AK53:AS53 AK38:AS38 AK41:AS41 AK44:AS44 AK47:AS47 AK50:AS50">
    <cfRule type="containsText" dxfId="622" priority="332" operator="containsText" text="AB">
      <formula>NOT(ISERROR(SEARCH("AB",AK35)))</formula>
    </cfRule>
    <cfRule type="containsText" dxfId="621" priority="333" operator="containsText" text="AB">
      <formula>NOT(ISERROR(SEARCH("AB",AK35)))</formula>
    </cfRule>
  </conditionalFormatting>
  <conditionalFormatting sqref="AS8 AS11">
    <cfRule type="containsText" dxfId="620" priority="328" operator="containsText" text="AB">
      <formula>NOT(ISERROR(SEARCH("AB",AS8)))</formula>
    </cfRule>
    <cfRule type="containsText" dxfId="619" priority="329" operator="containsText" text="AB">
      <formula>NOT(ISERROR(SEARCH("AB",AS8)))</formula>
    </cfRule>
  </conditionalFormatting>
  <conditionalFormatting sqref="E35:E36">
    <cfRule type="containsText" dxfId="618" priority="327" operator="containsText" text="AB">
      <formula>NOT(ISERROR(SEARCH("AB",E35)))</formula>
    </cfRule>
  </conditionalFormatting>
  <conditionalFormatting sqref="AA36:AC36">
    <cfRule type="containsText" dxfId="617" priority="205" operator="containsText" text="AB">
      <formula>NOT(ISERROR(SEARCH("AB",AA36)))</formula>
    </cfRule>
  </conditionalFormatting>
  <conditionalFormatting sqref="N38">
    <cfRule type="containsText" dxfId="616" priority="211" operator="containsText" text="AB">
      <formula>NOT(ISERROR(SEARCH("AB",N38)))</formula>
    </cfRule>
  </conditionalFormatting>
  <conditionalFormatting sqref="N39">
    <cfRule type="containsText" dxfId="615" priority="215" operator="containsText" text="AB">
      <formula>NOT(ISERROR(SEARCH("AB",N39)))</formula>
    </cfRule>
  </conditionalFormatting>
  <conditionalFormatting sqref="AD36">
    <cfRule type="containsText" dxfId="614" priority="326" operator="containsText" text="AB">
      <formula>NOT(ISERROR(SEARCH("AB",AD36)))</formula>
    </cfRule>
  </conditionalFormatting>
  <conditionalFormatting sqref="C36:D36">
    <cfRule type="containsText" dxfId="613" priority="233" operator="containsText" text="AB">
      <formula>NOT(ISERROR(SEARCH("AB",C36)))</formula>
    </cfRule>
  </conditionalFormatting>
  <conditionalFormatting sqref="C35:D35">
    <cfRule type="containsText" dxfId="612" priority="232" operator="containsText" text="AB">
      <formula>NOT(ISERROR(SEARCH("AB",C35)))</formula>
    </cfRule>
  </conditionalFormatting>
  <conditionalFormatting sqref="P35:Q35">
    <cfRule type="containsText" dxfId="611" priority="323" operator="containsText" text="AB">
      <formula>NOT(ISERROR(SEARCH("AB",P35)))</formula>
    </cfRule>
  </conditionalFormatting>
  <conditionalFormatting sqref="E38:H39 I38:M38">
    <cfRule type="containsText" dxfId="610" priority="321" operator="containsText" text="AB">
      <formula>NOT(ISERROR(SEARCH("AB",E38)))</formula>
    </cfRule>
  </conditionalFormatting>
  <conditionalFormatting sqref="N39">
    <cfRule type="containsText" dxfId="609" priority="212" operator="containsText" text="AB">
      <formula>NOT(ISERROR(SEARCH("AB",N39)))</formula>
    </cfRule>
  </conditionalFormatting>
  <conditionalFormatting sqref="J36">
    <cfRule type="containsText" dxfId="608" priority="229" operator="containsText" text="AB">
      <formula>NOT(ISERROR(SEARCH("AB",J36)))</formula>
    </cfRule>
  </conditionalFormatting>
  <conditionalFormatting sqref="AB45">
    <cfRule type="containsText" dxfId="607" priority="166" operator="containsText" text="AB">
      <formula>NOT(ISERROR(SEARCH("AB",AB45)))</formula>
    </cfRule>
  </conditionalFormatting>
  <conditionalFormatting sqref="C45:D45">
    <cfRule type="containsText" dxfId="606" priority="320" operator="containsText" text="AB">
      <formula>NOT(ISERROR(SEARCH("AB",C45)))</formula>
    </cfRule>
  </conditionalFormatting>
  <conditionalFormatting sqref="C45:D45">
    <cfRule type="containsText" dxfId="605" priority="318" operator="containsText" text="AB">
      <formula>NOT(ISERROR(SEARCH("AB",C45)))</formula>
    </cfRule>
    <cfRule type="containsText" dxfId="604" priority="319" operator="containsText" text="AB">
      <formula>NOT(ISERROR(SEARCH("AB",C45)))</formula>
    </cfRule>
  </conditionalFormatting>
  <conditionalFormatting sqref="C45:D45">
    <cfRule type="containsText" dxfId="603" priority="317" operator="containsText" text="AB">
      <formula>NOT(ISERROR(SEARCH("AB",C45)))</formula>
    </cfRule>
  </conditionalFormatting>
  <conditionalFormatting sqref="I45">
    <cfRule type="containsText" dxfId="602" priority="316" operator="containsText" text="AB">
      <formula>NOT(ISERROR(SEARCH("AB",I45)))</formula>
    </cfRule>
  </conditionalFormatting>
  <conditionalFormatting sqref="I45">
    <cfRule type="containsText" dxfId="601" priority="314" operator="containsText" text="AB">
      <formula>NOT(ISERROR(SEARCH("AB",I45)))</formula>
    </cfRule>
    <cfRule type="containsText" dxfId="600" priority="315" operator="containsText" text="AB">
      <formula>NOT(ISERROR(SEARCH("AB",I45)))</formula>
    </cfRule>
  </conditionalFormatting>
  <conditionalFormatting sqref="AB43">
    <cfRule type="containsText" dxfId="599" priority="313" operator="containsText" text="AB">
      <formula>NOT(ISERROR(SEARCH("AB",AB43)))</formula>
    </cfRule>
  </conditionalFormatting>
  <conditionalFormatting sqref="AB43">
    <cfRule type="containsText" dxfId="598" priority="311" operator="containsText" text="AB">
      <formula>NOT(ISERROR(SEARCH("AB",AB43)))</formula>
    </cfRule>
    <cfRule type="containsText" dxfId="597" priority="312" operator="containsText" text="AB">
      <formula>NOT(ISERROR(SEARCH("AB",AB43)))</formula>
    </cfRule>
  </conditionalFormatting>
  <conditionalFormatting sqref="AB43">
    <cfRule type="containsText" dxfId="596" priority="310" operator="containsText" text="AB">
      <formula>NOT(ISERROR(SEARCH("AB",AB43)))</formula>
    </cfRule>
  </conditionalFormatting>
  <conditionalFormatting sqref="AF43">
    <cfRule type="containsText" dxfId="595" priority="309" operator="containsText" text="AB">
      <formula>NOT(ISERROR(SEARCH("AB",AF43)))</formula>
    </cfRule>
  </conditionalFormatting>
  <conditionalFormatting sqref="AF43">
    <cfRule type="containsText" dxfId="594" priority="307" operator="containsText" text="AB">
      <formula>NOT(ISERROR(SEARCH("AB",AF43)))</formula>
    </cfRule>
    <cfRule type="containsText" dxfId="593" priority="308" operator="containsText" text="AB">
      <formula>NOT(ISERROR(SEARCH("AB",AF43)))</formula>
    </cfRule>
  </conditionalFormatting>
  <conditionalFormatting sqref="AF43">
    <cfRule type="containsText" dxfId="592" priority="306" operator="containsText" text="AB">
      <formula>NOT(ISERROR(SEARCH("AB",AF43)))</formula>
    </cfRule>
  </conditionalFormatting>
  <conditionalFormatting sqref="C48:D48">
    <cfRule type="containsText" dxfId="591" priority="305" operator="containsText" text="AB">
      <formula>NOT(ISERROR(SEARCH("AB",C48)))</formula>
    </cfRule>
  </conditionalFormatting>
  <conditionalFormatting sqref="C48:D48">
    <cfRule type="containsText" dxfId="590" priority="303" operator="containsText" text="AB">
      <formula>NOT(ISERROR(SEARCH("AB",C48)))</formula>
    </cfRule>
    <cfRule type="containsText" dxfId="589" priority="304" operator="containsText" text="AB">
      <formula>NOT(ISERROR(SEARCH("AB",C48)))</formula>
    </cfRule>
  </conditionalFormatting>
  <conditionalFormatting sqref="C48:D48">
    <cfRule type="containsText" dxfId="588" priority="302" operator="containsText" text="AB">
      <formula>NOT(ISERROR(SEARCH("AB",C48)))</formula>
    </cfRule>
  </conditionalFormatting>
  <conditionalFormatting sqref="I48">
    <cfRule type="containsText" dxfId="587" priority="301" operator="containsText" text="AB">
      <formula>NOT(ISERROR(SEARCH("AB",I48)))</formula>
    </cfRule>
  </conditionalFormatting>
  <conditionalFormatting sqref="I48">
    <cfRule type="containsText" dxfId="586" priority="299" operator="containsText" text="AB">
      <formula>NOT(ISERROR(SEARCH("AB",I48)))</formula>
    </cfRule>
    <cfRule type="containsText" dxfId="585" priority="300" operator="containsText" text="AB">
      <formula>NOT(ISERROR(SEARCH("AB",I48)))</formula>
    </cfRule>
  </conditionalFormatting>
  <conditionalFormatting sqref="C39:D39">
    <cfRule type="containsText" dxfId="584" priority="243" operator="containsText" text="AB">
      <formula>NOT(ISERROR(SEARCH("AB",C39)))</formula>
    </cfRule>
  </conditionalFormatting>
  <conditionalFormatting sqref="C39:D39">
    <cfRule type="containsText" dxfId="583" priority="241" operator="containsText" text="AB">
      <formula>NOT(ISERROR(SEARCH("AB",C39)))</formula>
    </cfRule>
    <cfRule type="containsText" dxfId="582" priority="242" operator="containsText" text="AB">
      <formula>NOT(ISERROR(SEARCH("AB",C39)))</formula>
    </cfRule>
  </conditionalFormatting>
  <conditionalFormatting sqref="C39:D39">
    <cfRule type="containsText" dxfId="581" priority="240" operator="containsText" text="AB">
      <formula>NOT(ISERROR(SEARCH("AB",C39)))</formula>
    </cfRule>
  </conditionalFormatting>
  <conditionalFormatting sqref="C51:D51">
    <cfRule type="containsText" dxfId="580" priority="298" operator="containsText" text="AB">
      <formula>NOT(ISERROR(SEARCH("AB",C51)))</formula>
    </cfRule>
  </conditionalFormatting>
  <conditionalFormatting sqref="C51:D51">
    <cfRule type="containsText" dxfId="579" priority="296" operator="containsText" text="AB">
      <formula>NOT(ISERROR(SEARCH("AB",C51)))</formula>
    </cfRule>
    <cfRule type="containsText" dxfId="578" priority="297" operator="containsText" text="AB">
      <formula>NOT(ISERROR(SEARCH("AB",C51)))</formula>
    </cfRule>
  </conditionalFormatting>
  <conditionalFormatting sqref="C51:D51">
    <cfRule type="containsText" dxfId="577" priority="295" operator="containsText" text="AB">
      <formula>NOT(ISERROR(SEARCH("AB",C51)))</formula>
    </cfRule>
  </conditionalFormatting>
  <conditionalFormatting sqref="J51">
    <cfRule type="containsText" dxfId="576" priority="294" operator="containsText" text="AB">
      <formula>NOT(ISERROR(SEARCH("AB",J51)))</formula>
    </cfRule>
  </conditionalFormatting>
  <conditionalFormatting sqref="J51">
    <cfRule type="containsText" dxfId="575" priority="292" operator="containsText" text="AB">
      <formula>NOT(ISERROR(SEARCH("AB",J51)))</formula>
    </cfRule>
    <cfRule type="containsText" dxfId="574" priority="293" operator="containsText" text="AB">
      <formula>NOT(ISERROR(SEARCH("AB",J51)))</formula>
    </cfRule>
  </conditionalFormatting>
  <conditionalFormatting sqref="J51">
    <cfRule type="containsText" dxfId="573" priority="291" operator="containsText" text="AB">
      <formula>NOT(ISERROR(SEARCH("AB",J51)))</formula>
    </cfRule>
  </conditionalFormatting>
  <conditionalFormatting sqref="C54:D54">
    <cfRule type="containsText" dxfId="572" priority="290" operator="containsText" text="AB">
      <formula>NOT(ISERROR(SEARCH("AB",C54)))</formula>
    </cfRule>
  </conditionalFormatting>
  <conditionalFormatting sqref="C54:D54">
    <cfRule type="containsText" dxfId="571" priority="288" operator="containsText" text="AB">
      <formula>NOT(ISERROR(SEARCH("AB",C54)))</formula>
    </cfRule>
    <cfRule type="containsText" dxfId="570" priority="289" operator="containsText" text="AB">
      <formula>NOT(ISERROR(SEARCH("AB",C54)))</formula>
    </cfRule>
  </conditionalFormatting>
  <conditionalFormatting sqref="C54:D54">
    <cfRule type="containsText" dxfId="569" priority="287" operator="containsText" text="AB">
      <formula>NOT(ISERROR(SEARCH("AB",C54)))</formula>
    </cfRule>
  </conditionalFormatting>
  <conditionalFormatting sqref="C47:M47">
    <cfRule type="containsText" dxfId="568" priority="256" operator="containsText" text="AB">
      <formula>NOT(ISERROR(SEARCH("AB",C47)))</formula>
    </cfRule>
  </conditionalFormatting>
  <conditionalFormatting sqref="C47:M47">
    <cfRule type="containsText" dxfId="567" priority="254" operator="containsText" text="AB">
      <formula>NOT(ISERROR(SEARCH("AB",C47)))</formula>
    </cfRule>
    <cfRule type="containsText" dxfId="566" priority="255" operator="containsText" text="AB">
      <formula>NOT(ISERROR(SEARCH("AB",C47)))</formula>
    </cfRule>
  </conditionalFormatting>
  <conditionalFormatting sqref="C44:N44">
    <cfRule type="containsText" dxfId="565" priority="253" operator="containsText" text="AB">
      <formula>NOT(ISERROR(SEARCH("AB",C44)))</formula>
    </cfRule>
  </conditionalFormatting>
  <conditionalFormatting sqref="E57:F57">
    <cfRule type="containsText" dxfId="564" priority="286" operator="containsText" text="AB">
      <formula>NOT(ISERROR(SEARCH("AB",E57)))</formula>
    </cfRule>
  </conditionalFormatting>
  <conditionalFormatting sqref="E57:F57">
    <cfRule type="containsText" dxfId="563" priority="284" operator="containsText" text="AB">
      <formula>NOT(ISERROR(SEARCH("AB",E57)))</formula>
    </cfRule>
    <cfRule type="containsText" dxfId="562" priority="285" operator="containsText" text="AB">
      <formula>NOT(ISERROR(SEARCH("AB",E57)))</formula>
    </cfRule>
  </conditionalFormatting>
  <conditionalFormatting sqref="C57:D57">
    <cfRule type="containsText" dxfId="561" priority="283" operator="containsText" text="AB">
      <formula>NOT(ISERROR(SEARCH("AB",C57)))</formula>
    </cfRule>
  </conditionalFormatting>
  <conditionalFormatting sqref="C57:D57">
    <cfRule type="containsText" dxfId="560" priority="281" operator="containsText" text="AB">
      <formula>NOT(ISERROR(SEARCH("AB",C57)))</formula>
    </cfRule>
    <cfRule type="containsText" dxfId="559" priority="282" operator="containsText" text="AB">
      <formula>NOT(ISERROR(SEARCH("AB",C57)))</formula>
    </cfRule>
  </conditionalFormatting>
  <conditionalFormatting sqref="C57:D57">
    <cfRule type="containsText" dxfId="558" priority="280" operator="containsText" text="AB">
      <formula>NOT(ISERROR(SEARCH("AB",C57)))</formula>
    </cfRule>
  </conditionalFormatting>
  <conditionalFormatting sqref="Y57:AA57 AC57">
    <cfRule type="containsText" dxfId="557" priority="279" operator="containsText" text="AB">
      <formula>NOT(ISERROR(SEARCH("AB",Y57)))</formula>
    </cfRule>
  </conditionalFormatting>
  <conditionalFormatting sqref="Y57:AA57 AC57">
    <cfRule type="containsText" dxfId="556" priority="277" operator="containsText" text="AB">
      <formula>NOT(ISERROR(SEARCH("AB",Y57)))</formula>
    </cfRule>
    <cfRule type="containsText" dxfId="555" priority="278" operator="containsText" text="AB">
      <formula>NOT(ISERROR(SEARCH("AB",Y57)))</formula>
    </cfRule>
  </conditionalFormatting>
  <conditionalFormatting sqref="Y57:AA57 AC57">
    <cfRule type="containsText" dxfId="554" priority="276" operator="containsText" text="AB">
      <formula>NOT(ISERROR(SEARCH("AB",Y57)))</formula>
    </cfRule>
  </conditionalFormatting>
  <conditionalFormatting sqref="AE57">
    <cfRule type="containsText" dxfId="553" priority="275" operator="containsText" text="AB">
      <formula>NOT(ISERROR(SEARCH("AB",AE57)))</formula>
    </cfRule>
  </conditionalFormatting>
  <conditionalFormatting sqref="AE57">
    <cfRule type="containsText" dxfId="552" priority="273" operator="containsText" text="AB">
      <formula>NOT(ISERROR(SEARCH("AB",AE57)))</formula>
    </cfRule>
    <cfRule type="containsText" dxfId="551" priority="274" operator="containsText" text="AB">
      <formula>NOT(ISERROR(SEARCH("AB",AE57)))</formula>
    </cfRule>
  </conditionalFormatting>
  <conditionalFormatting sqref="AE57">
    <cfRule type="containsText" dxfId="550" priority="272" operator="containsText" text="AB">
      <formula>NOT(ISERROR(SEARCH("AB",AE57)))</formula>
    </cfRule>
  </conditionalFormatting>
  <conditionalFormatting sqref="C59:AF60">
    <cfRule type="containsText" dxfId="549" priority="271" operator="containsText" text="AB">
      <formula>NOT(ISERROR(SEARCH("AB",C59)))</formula>
    </cfRule>
  </conditionalFormatting>
  <conditionalFormatting sqref="C59:AF60">
    <cfRule type="containsText" dxfId="548" priority="269" operator="containsText" text="AB">
      <formula>NOT(ISERROR(SEARCH("AB",C59)))</formula>
    </cfRule>
    <cfRule type="containsText" dxfId="547" priority="270" operator="containsText" text="AB">
      <formula>NOT(ISERROR(SEARCH("AB",C59)))</formula>
    </cfRule>
  </conditionalFormatting>
  <conditionalFormatting sqref="C56:H56">
    <cfRule type="containsText" dxfId="546" priority="265" operator="containsText" text="AB">
      <formula>NOT(ISERROR(SEARCH("AB",C56)))</formula>
    </cfRule>
  </conditionalFormatting>
  <conditionalFormatting sqref="C56:H56">
    <cfRule type="containsText" dxfId="545" priority="263" operator="containsText" text="AB">
      <formula>NOT(ISERROR(SEARCH("AB",C56)))</formula>
    </cfRule>
    <cfRule type="containsText" dxfId="544" priority="264" operator="containsText" text="AB">
      <formula>NOT(ISERROR(SEARCH("AB",C56)))</formula>
    </cfRule>
  </conditionalFormatting>
  <conditionalFormatting sqref="C53:J53">
    <cfRule type="containsText" dxfId="543" priority="262" operator="containsText" text="AB">
      <formula>NOT(ISERROR(SEARCH("AB",C53)))</formula>
    </cfRule>
  </conditionalFormatting>
  <conditionalFormatting sqref="C53:J53">
    <cfRule type="containsText" dxfId="542" priority="260" operator="containsText" text="AB">
      <formula>NOT(ISERROR(SEARCH("AB",C53)))</formula>
    </cfRule>
    <cfRule type="containsText" dxfId="541" priority="261" operator="containsText" text="AB">
      <formula>NOT(ISERROR(SEARCH("AB",C53)))</formula>
    </cfRule>
  </conditionalFormatting>
  <conditionalFormatting sqref="C50:D50">
    <cfRule type="containsText" dxfId="540" priority="259" operator="containsText" text="AB">
      <formula>NOT(ISERROR(SEARCH("AB",C50)))</formula>
    </cfRule>
  </conditionalFormatting>
  <conditionalFormatting sqref="C50:D50">
    <cfRule type="containsText" dxfId="539" priority="257" operator="containsText" text="AB">
      <formula>NOT(ISERROR(SEARCH("AB",C50)))</formula>
    </cfRule>
    <cfRule type="containsText" dxfId="538" priority="258" operator="containsText" text="AB">
      <formula>NOT(ISERROR(SEARCH("AB",C50)))</formula>
    </cfRule>
  </conditionalFormatting>
  <conditionalFormatting sqref="C44:N44">
    <cfRule type="containsText" dxfId="537" priority="251" operator="containsText" text="AB">
      <formula>NOT(ISERROR(SEARCH("AB",C44)))</formula>
    </cfRule>
    <cfRule type="containsText" dxfId="536" priority="252" operator="containsText" text="AB">
      <formula>NOT(ISERROR(SEARCH("AB",C44)))</formula>
    </cfRule>
  </conditionalFormatting>
  <conditionalFormatting sqref="C42">
    <cfRule type="containsText" dxfId="535" priority="250" operator="containsText" text="AB">
      <formula>NOT(ISERROR(SEARCH("AB",C42)))</formula>
    </cfRule>
  </conditionalFormatting>
  <conditionalFormatting sqref="C42">
    <cfRule type="containsText" dxfId="534" priority="248" operator="containsText" text="AB">
      <formula>NOT(ISERROR(SEARCH("AB",C42)))</formula>
    </cfRule>
    <cfRule type="containsText" dxfId="533" priority="249" operator="containsText" text="AB">
      <formula>NOT(ISERROR(SEARCH("AB",C42)))</formula>
    </cfRule>
  </conditionalFormatting>
  <conditionalFormatting sqref="C42">
    <cfRule type="containsText" dxfId="532" priority="247" operator="containsText" text="AB">
      <formula>NOT(ISERROR(SEARCH("AB",C42)))</formula>
    </cfRule>
  </conditionalFormatting>
  <conditionalFormatting sqref="C41:AG41">
    <cfRule type="containsText" dxfId="531" priority="246" operator="containsText" text="AB">
      <formula>NOT(ISERROR(SEARCH("AB",C41)))</formula>
    </cfRule>
  </conditionalFormatting>
  <conditionalFormatting sqref="C41:AG41">
    <cfRule type="containsText" dxfId="530" priority="244" operator="containsText" text="AB">
      <formula>NOT(ISERROR(SEARCH("AB",C41)))</formula>
    </cfRule>
    <cfRule type="containsText" dxfId="529" priority="245" operator="containsText" text="AB">
      <formula>NOT(ISERROR(SEARCH("AB",C41)))</formula>
    </cfRule>
  </conditionalFormatting>
  <conditionalFormatting sqref="C38:D38">
    <cfRule type="containsText" dxfId="528" priority="239" operator="containsText" text="AB">
      <formula>NOT(ISERROR(SEARCH("AB",C38)))</formula>
    </cfRule>
  </conditionalFormatting>
  <conditionalFormatting sqref="C38:D38">
    <cfRule type="containsText" dxfId="527" priority="237" operator="containsText" text="AB">
      <formula>NOT(ISERROR(SEARCH("AB",C38)))</formula>
    </cfRule>
    <cfRule type="containsText" dxfId="526" priority="238" operator="containsText" text="AB">
      <formula>NOT(ISERROR(SEARCH("AB",C38)))</formula>
    </cfRule>
  </conditionalFormatting>
  <conditionalFormatting sqref="C36:D36">
    <cfRule type="containsText" dxfId="525" priority="236" operator="containsText" text="AB">
      <formula>NOT(ISERROR(SEARCH("AB",C36)))</formula>
    </cfRule>
  </conditionalFormatting>
  <conditionalFormatting sqref="C36:D36">
    <cfRule type="containsText" dxfId="524" priority="234" operator="containsText" text="AB">
      <formula>NOT(ISERROR(SEARCH("AB",C36)))</formula>
    </cfRule>
    <cfRule type="containsText" dxfId="523" priority="235" operator="containsText" text="AB">
      <formula>NOT(ISERROR(SEARCH("AB",C36)))</formula>
    </cfRule>
  </conditionalFormatting>
  <conditionalFormatting sqref="C35:D35">
    <cfRule type="containsText" dxfId="522" priority="230" operator="containsText" text="AB">
      <formula>NOT(ISERROR(SEARCH("AB",C35)))</formula>
    </cfRule>
    <cfRule type="containsText" dxfId="521" priority="231" operator="containsText" text="AB">
      <formula>NOT(ISERROR(SEARCH("AB",C35)))</formula>
    </cfRule>
  </conditionalFormatting>
  <conditionalFormatting sqref="J36">
    <cfRule type="containsText" dxfId="520" priority="227" operator="containsText" text="AB">
      <formula>NOT(ISERROR(SEARCH("AB",J36)))</formula>
    </cfRule>
    <cfRule type="containsText" dxfId="519" priority="228" operator="containsText" text="AB">
      <formula>NOT(ISERROR(SEARCH("AB",J36)))</formula>
    </cfRule>
  </conditionalFormatting>
  <conditionalFormatting sqref="J36">
    <cfRule type="containsText" dxfId="518" priority="226" operator="containsText" text="AB">
      <formula>NOT(ISERROR(SEARCH("AB",J36)))</formula>
    </cfRule>
  </conditionalFormatting>
  <conditionalFormatting sqref="J35:L35">
    <cfRule type="containsText" dxfId="517" priority="225" operator="containsText" text="AB">
      <formula>NOT(ISERROR(SEARCH("AB",J35)))</formula>
    </cfRule>
  </conditionalFormatting>
  <conditionalFormatting sqref="J35:L35">
    <cfRule type="containsText" dxfId="516" priority="223" operator="containsText" text="AB">
      <formula>NOT(ISERROR(SEARCH("AB",J35)))</formula>
    </cfRule>
    <cfRule type="containsText" dxfId="515" priority="224" operator="containsText" text="AB">
      <formula>NOT(ISERROR(SEARCH("AB",J35)))</formula>
    </cfRule>
  </conditionalFormatting>
  <conditionalFormatting sqref="N36:O36">
    <cfRule type="containsText" dxfId="514" priority="222" operator="containsText" text="AB">
      <formula>NOT(ISERROR(SEARCH("AB",N36)))</formula>
    </cfRule>
  </conditionalFormatting>
  <conditionalFormatting sqref="N36:O36">
    <cfRule type="containsText" dxfId="513" priority="220" operator="containsText" text="AB">
      <formula>NOT(ISERROR(SEARCH("AB",N36)))</formula>
    </cfRule>
    <cfRule type="containsText" dxfId="512" priority="221" operator="containsText" text="AB">
      <formula>NOT(ISERROR(SEARCH("AB",N36)))</formula>
    </cfRule>
  </conditionalFormatting>
  <conditionalFormatting sqref="N36:O36">
    <cfRule type="containsText" dxfId="511" priority="219" operator="containsText" text="AB">
      <formula>NOT(ISERROR(SEARCH("AB",N36)))</formula>
    </cfRule>
  </conditionalFormatting>
  <conditionalFormatting sqref="N35:O35">
    <cfRule type="containsText" dxfId="510" priority="218" operator="containsText" text="AB">
      <formula>NOT(ISERROR(SEARCH("AB",N35)))</formula>
    </cfRule>
  </conditionalFormatting>
  <conditionalFormatting sqref="N35:O35">
    <cfRule type="containsText" dxfId="509" priority="216" operator="containsText" text="AB">
      <formula>NOT(ISERROR(SEARCH("AB",N35)))</formula>
    </cfRule>
    <cfRule type="containsText" dxfId="508" priority="217" operator="containsText" text="AB">
      <formula>NOT(ISERROR(SEARCH("AB",N35)))</formula>
    </cfRule>
  </conditionalFormatting>
  <conditionalFormatting sqref="N39">
    <cfRule type="containsText" dxfId="507" priority="213" operator="containsText" text="AB">
      <formula>NOT(ISERROR(SEARCH("AB",N39)))</formula>
    </cfRule>
    <cfRule type="containsText" dxfId="506" priority="214" operator="containsText" text="AB">
      <formula>NOT(ISERROR(SEARCH("AB",N39)))</formula>
    </cfRule>
  </conditionalFormatting>
  <conditionalFormatting sqref="N38">
    <cfRule type="containsText" dxfId="505" priority="209" operator="containsText" text="AB">
      <formula>NOT(ISERROR(SEARCH("AB",N38)))</formula>
    </cfRule>
    <cfRule type="containsText" dxfId="504" priority="210" operator="containsText" text="AB">
      <formula>NOT(ISERROR(SEARCH("AB",N38)))</formula>
    </cfRule>
  </conditionalFormatting>
  <conditionalFormatting sqref="AA36:AC36">
    <cfRule type="containsText" dxfId="503" priority="208" operator="containsText" text="AB">
      <formula>NOT(ISERROR(SEARCH("AB",AA36)))</formula>
    </cfRule>
  </conditionalFormatting>
  <conditionalFormatting sqref="AA36:AC36">
    <cfRule type="containsText" dxfId="502" priority="206" operator="containsText" text="AB">
      <formula>NOT(ISERROR(SEARCH("AB",AA36)))</formula>
    </cfRule>
    <cfRule type="containsText" dxfId="501" priority="207" operator="containsText" text="AB">
      <formula>NOT(ISERROR(SEARCH("AB",AA36)))</formula>
    </cfRule>
  </conditionalFormatting>
  <conditionalFormatting sqref="Q39">
    <cfRule type="containsText" dxfId="500" priority="194" operator="containsText" text="AB">
      <formula>NOT(ISERROR(SEARCH("AB",Q39)))</formula>
    </cfRule>
  </conditionalFormatting>
  <conditionalFormatting sqref="Q39">
    <cfRule type="containsText" dxfId="499" priority="192" operator="containsText" text="AB">
      <formula>NOT(ISERROR(SEARCH("AB",Q39)))</formula>
    </cfRule>
    <cfRule type="containsText" dxfId="498" priority="193" operator="containsText" text="AB">
      <formula>NOT(ISERROR(SEARCH("AB",Q39)))</formula>
    </cfRule>
  </conditionalFormatting>
  <conditionalFormatting sqref="AF36">
    <cfRule type="containsText" dxfId="497" priority="201" operator="containsText" text="AB">
      <formula>NOT(ISERROR(SEARCH("AB",AF36)))</formula>
    </cfRule>
  </conditionalFormatting>
  <conditionalFormatting sqref="AF36">
    <cfRule type="containsText" dxfId="496" priority="199" operator="containsText" text="AB">
      <formula>NOT(ISERROR(SEARCH("AB",AF36)))</formula>
    </cfRule>
    <cfRule type="containsText" dxfId="495" priority="200" operator="containsText" text="AB">
      <formula>NOT(ISERROR(SEARCH("AB",AF36)))</formula>
    </cfRule>
  </conditionalFormatting>
  <conditionalFormatting sqref="AF36">
    <cfRule type="containsText" dxfId="494" priority="198" operator="containsText" text="AB">
      <formula>NOT(ISERROR(SEARCH("AB",AF36)))</formula>
    </cfRule>
  </conditionalFormatting>
  <conditionalFormatting sqref="V39:AF39">
    <cfRule type="containsText" dxfId="493" priority="187" operator="containsText" text="AB">
      <formula>NOT(ISERROR(SEARCH("AB",V39)))</formula>
    </cfRule>
  </conditionalFormatting>
  <conditionalFormatting sqref="V39:AF39">
    <cfRule type="containsText" dxfId="492" priority="185" operator="containsText" text="AB">
      <formula>NOT(ISERROR(SEARCH("AB",V39)))</formula>
    </cfRule>
    <cfRule type="containsText" dxfId="491" priority="186" operator="containsText" text="AB">
      <formula>NOT(ISERROR(SEARCH("AB",V39)))</formula>
    </cfRule>
  </conditionalFormatting>
  <conditionalFormatting sqref="Q39">
    <cfRule type="containsText" dxfId="490" priority="191" operator="containsText" text="AB">
      <formula>NOT(ISERROR(SEARCH("AB",Q39)))</formula>
    </cfRule>
  </conditionalFormatting>
  <conditionalFormatting sqref="Q38">
    <cfRule type="containsText" dxfId="489" priority="190" operator="containsText" text="AB">
      <formula>NOT(ISERROR(SEARCH("AB",Q38)))</formula>
    </cfRule>
  </conditionalFormatting>
  <conditionalFormatting sqref="Q38">
    <cfRule type="containsText" dxfId="488" priority="188" operator="containsText" text="AB">
      <formula>NOT(ISERROR(SEARCH("AB",Q38)))</formula>
    </cfRule>
    <cfRule type="containsText" dxfId="487" priority="189" operator="containsText" text="AB">
      <formula>NOT(ISERROR(SEARCH("AB",Q38)))</formula>
    </cfRule>
  </conditionalFormatting>
  <conditionalFormatting sqref="V39:AF39">
    <cfRule type="containsText" dxfId="486" priority="184" operator="containsText" text="AB">
      <formula>NOT(ISERROR(SEARCH("AB",V39)))</formula>
    </cfRule>
  </conditionalFormatting>
  <conditionalFormatting sqref="V38:AF38">
    <cfRule type="containsText" dxfId="485" priority="183" operator="containsText" text="AB">
      <formula>NOT(ISERROR(SEARCH("AB",V38)))</formula>
    </cfRule>
  </conditionalFormatting>
  <conditionalFormatting sqref="V38:AF38">
    <cfRule type="containsText" dxfId="484" priority="181" operator="containsText" text="AB">
      <formula>NOT(ISERROR(SEARCH("AB",V38)))</formula>
    </cfRule>
    <cfRule type="containsText" dxfId="483" priority="182" operator="containsText" text="AB">
      <formula>NOT(ISERROR(SEARCH("AB",V38)))</formula>
    </cfRule>
  </conditionalFormatting>
  <conditionalFormatting sqref="AB42">
    <cfRule type="containsText" dxfId="482" priority="180" operator="containsText" text="AB">
      <formula>NOT(ISERROR(SEARCH("AB",AB42)))</formula>
    </cfRule>
  </conditionalFormatting>
  <conditionalFormatting sqref="AB42">
    <cfRule type="containsText" dxfId="481" priority="178" operator="containsText" text="AB">
      <formula>NOT(ISERROR(SEARCH("AB",AB42)))</formula>
    </cfRule>
    <cfRule type="containsText" dxfId="480" priority="179" operator="containsText" text="AB">
      <formula>NOT(ISERROR(SEARCH("AB",AB42)))</formula>
    </cfRule>
  </conditionalFormatting>
  <conditionalFormatting sqref="AB42">
    <cfRule type="containsText" dxfId="479" priority="177" operator="containsText" text="AB">
      <formula>NOT(ISERROR(SEARCH("AB",AB42)))</formula>
    </cfRule>
  </conditionalFormatting>
  <conditionalFormatting sqref="AE42:AF42">
    <cfRule type="containsText" dxfId="478" priority="173" operator="containsText" text="AB">
      <formula>NOT(ISERROR(SEARCH("AB",AE42)))</formula>
    </cfRule>
  </conditionalFormatting>
  <conditionalFormatting sqref="AE42:AF42">
    <cfRule type="containsText" dxfId="477" priority="171" operator="containsText" text="AB">
      <formula>NOT(ISERROR(SEARCH("AB",AE42)))</formula>
    </cfRule>
    <cfRule type="containsText" dxfId="476" priority="172" operator="containsText" text="AB">
      <formula>NOT(ISERROR(SEARCH("AB",AE42)))</formula>
    </cfRule>
  </conditionalFormatting>
  <conditionalFormatting sqref="AE42:AF42">
    <cfRule type="containsText" dxfId="475" priority="170" operator="containsText" text="AB">
      <formula>NOT(ISERROR(SEARCH("AB",AE42)))</formula>
    </cfRule>
  </conditionalFormatting>
  <conditionalFormatting sqref="AB45">
    <cfRule type="containsText" dxfId="474" priority="164" operator="containsText" text="AB">
      <formula>NOT(ISERROR(SEARCH("AB",AB45)))</formula>
    </cfRule>
    <cfRule type="containsText" dxfId="473" priority="165" operator="containsText" text="AB">
      <formula>NOT(ISERROR(SEARCH("AB",AB45)))</formula>
    </cfRule>
  </conditionalFormatting>
  <conditionalFormatting sqref="AB45">
    <cfRule type="containsText" dxfId="472" priority="163" operator="containsText" text="AB">
      <formula>NOT(ISERROR(SEARCH("AB",AB45)))</formula>
    </cfRule>
  </conditionalFormatting>
  <conditionalFormatting sqref="AF45">
    <cfRule type="containsText" dxfId="471" priority="159" operator="containsText" text="AB">
      <formula>NOT(ISERROR(SEARCH("AB",AF45)))</formula>
    </cfRule>
  </conditionalFormatting>
  <conditionalFormatting sqref="AF45">
    <cfRule type="containsText" dxfId="470" priority="157" operator="containsText" text="AB">
      <formula>NOT(ISERROR(SEARCH("AB",AF45)))</formula>
    </cfRule>
    <cfRule type="containsText" dxfId="469" priority="158" operator="containsText" text="AB">
      <formula>NOT(ISERROR(SEARCH("AB",AF45)))</formula>
    </cfRule>
  </conditionalFormatting>
  <conditionalFormatting sqref="AF45">
    <cfRule type="containsText" dxfId="468" priority="156" operator="containsText" text="AB">
      <formula>NOT(ISERROR(SEARCH("AB",AF45)))</formula>
    </cfRule>
  </conditionalFormatting>
  <conditionalFormatting sqref="AB48">
    <cfRule type="containsText" dxfId="467" priority="152" operator="containsText" text="AB">
      <formula>NOT(ISERROR(SEARCH("AB",AB48)))</formula>
    </cfRule>
  </conditionalFormatting>
  <conditionalFormatting sqref="AB48">
    <cfRule type="containsText" dxfId="466" priority="150" operator="containsText" text="AB">
      <formula>NOT(ISERROR(SEARCH("AB",AB48)))</formula>
    </cfRule>
    <cfRule type="containsText" dxfId="465" priority="151" operator="containsText" text="AB">
      <formula>NOT(ISERROR(SEARCH("AB",AB48)))</formula>
    </cfRule>
  </conditionalFormatting>
  <conditionalFormatting sqref="AB48">
    <cfRule type="containsText" dxfId="464" priority="149" operator="containsText" text="AB">
      <formula>NOT(ISERROR(SEARCH("AB",AB48)))</formula>
    </cfRule>
  </conditionalFormatting>
  <conditionalFormatting sqref="AE48">
    <cfRule type="containsText" dxfId="463" priority="145" operator="containsText" text="AB">
      <formula>NOT(ISERROR(SEARCH("AB",AE48)))</formula>
    </cfRule>
  </conditionalFormatting>
  <conditionalFormatting sqref="AE48">
    <cfRule type="containsText" dxfId="462" priority="143" operator="containsText" text="AB">
      <formula>NOT(ISERROR(SEARCH("AB",AE48)))</formula>
    </cfRule>
    <cfRule type="containsText" dxfId="461" priority="144" operator="containsText" text="AB">
      <formula>NOT(ISERROR(SEARCH("AB",AE48)))</formula>
    </cfRule>
  </conditionalFormatting>
  <conditionalFormatting sqref="AE48">
    <cfRule type="containsText" dxfId="460" priority="142" operator="containsText" text="AB">
      <formula>NOT(ISERROR(SEARCH("AB",AE48)))</formula>
    </cfRule>
  </conditionalFormatting>
  <conditionalFormatting sqref="AF48">
    <cfRule type="containsText" dxfId="459" priority="138" operator="containsText" text="AB">
      <formula>NOT(ISERROR(SEARCH("AB",AF48)))</formula>
    </cfRule>
  </conditionalFormatting>
  <conditionalFormatting sqref="AF48">
    <cfRule type="containsText" dxfId="458" priority="136" operator="containsText" text="AB">
      <formula>NOT(ISERROR(SEARCH("AB",AF48)))</formula>
    </cfRule>
    <cfRule type="containsText" dxfId="457" priority="137" operator="containsText" text="AB">
      <formula>NOT(ISERROR(SEARCH("AB",AF48)))</formula>
    </cfRule>
  </conditionalFormatting>
  <conditionalFormatting sqref="AF48">
    <cfRule type="containsText" dxfId="456" priority="135" operator="containsText" text="AB">
      <formula>NOT(ISERROR(SEARCH("AB",AF48)))</formula>
    </cfRule>
  </conditionalFormatting>
  <conditionalFormatting sqref="I51">
    <cfRule type="containsText" dxfId="455" priority="130" operator="containsText" text="AB">
      <formula>NOT(ISERROR(SEARCH("AB",I51)))</formula>
    </cfRule>
  </conditionalFormatting>
  <conditionalFormatting sqref="I51">
    <cfRule type="containsText" dxfId="454" priority="128" operator="containsText" text="AB">
      <formula>NOT(ISERROR(SEARCH("AB",I51)))</formula>
    </cfRule>
    <cfRule type="containsText" dxfId="453" priority="129" operator="containsText" text="AB">
      <formula>NOT(ISERROR(SEARCH("AB",I51)))</formula>
    </cfRule>
  </conditionalFormatting>
  <conditionalFormatting sqref="I51">
    <cfRule type="containsText" dxfId="452" priority="127" operator="containsText" text="AB">
      <formula>NOT(ISERROR(SEARCH("AB",I51)))</formula>
    </cfRule>
  </conditionalFormatting>
  <conditionalFormatting sqref="N51">
    <cfRule type="containsText" dxfId="451" priority="123" operator="containsText" text="AB">
      <formula>NOT(ISERROR(SEARCH("AB",N51)))</formula>
    </cfRule>
  </conditionalFormatting>
  <conditionalFormatting sqref="N51">
    <cfRule type="containsText" dxfId="450" priority="121" operator="containsText" text="AB">
      <formula>NOT(ISERROR(SEARCH("AB",N51)))</formula>
    </cfRule>
    <cfRule type="containsText" dxfId="449" priority="122" operator="containsText" text="AB">
      <formula>NOT(ISERROR(SEARCH("AB",N51)))</formula>
    </cfRule>
  </conditionalFormatting>
  <conditionalFormatting sqref="N51">
    <cfRule type="containsText" dxfId="448" priority="120" operator="containsText" text="AB">
      <formula>NOT(ISERROR(SEARCH("AB",N51)))</formula>
    </cfRule>
  </conditionalFormatting>
  <conditionalFormatting sqref="O51">
    <cfRule type="containsText" dxfId="447" priority="116" operator="containsText" text="AB">
      <formula>NOT(ISERROR(SEARCH("AB",O51)))</formula>
    </cfRule>
  </conditionalFormatting>
  <conditionalFormatting sqref="O51">
    <cfRule type="containsText" dxfId="446" priority="114" operator="containsText" text="AB">
      <formula>NOT(ISERROR(SEARCH("AB",O51)))</formula>
    </cfRule>
    <cfRule type="containsText" dxfId="445" priority="115" operator="containsText" text="AB">
      <formula>NOT(ISERROR(SEARCH("AB",O51)))</formula>
    </cfRule>
  </conditionalFormatting>
  <conditionalFormatting sqref="O51">
    <cfRule type="containsText" dxfId="444" priority="113" operator="containsText" text="AB">
      <formula>NOT(ISERROR(SEARCH("AB",O51)))</formula>
    </cfRule>
  </conditionalFormatting>
  <conditionalFormatting sqref="V51">
    <cfRule type="containsText" dxfId="443" priority="109" operator="containsText" text="AB">
      <formula>NOT(ISERROR(SEARCH("AB",V51)))</formula>
    </cfRule>
  </conditionalFormatting>
  <conditionalFormatting sqref="V51">
    <cfRule type="containsText" dxfId="442" priority="107" operator="containsText" text="AB">
      <formula>NOT(ISERROR(SEARCH("AB",V51)))</formula>
    </cfRule>
    <cfRule type="containsText" dxfId="441" priority="108" operator="containsText" text="AB">
      <formula>NOT(ISERROR(SEARCH("AB",V51)))</formula>
    </cfRule>
  </conditionalFormatting>
  <conditionalFormatting sqref="V51">
    <cfRule type="containsText" dxfId="440" priority="106" operator="containsText" text="AB">
      <formula>NOT(ISERROR(SEARCH("AB",V51)))</formula>
    </cfRule>
  </conditionalFormatting>
  <conditionalFormatting sqref="AB51">
    <cfRule type="containsText" dxfId="439" priority="102" operator="containsText" text="AB">
      <formula>NOT(ISERROR(SEARCH("AB",AB51)))</formula>
    </cfRule>
  </conditionalFormatting>
  <conditionalFormatting sqref="AB51">
    <cfRule type="containsText" dxfId="438" priority="100" operator="containsText" text="AB">
      <formula>NOT(ISERROR(SEARCH("AB",AB51)))</formula>
    </cfRule>
    <cfRule type="containsText" dxfId="437" priority="101" operator="containsText" text="AB">
      <formula>NOT(ISERROR(SEARCH("AB",AB51)))</formula>
    </cfRule>
  </conditionalFormatting>
  <conditionalFormatting sqref="AB51">
    <cfRule type="containsText" dxfId="436" priority="99" operator="containsText" text="AB">
      <formula>NOT(ISERROR(SEARCH("AB",AB51)))</formula>
    </cfRule>
  </conditionalFormatting>
  <conditionalFormatting sqref="AE51:AF51">
    <cfRule type="containsText" dxfId="435" priority="95" operator="containsText" text="AB">
      <formula>NOT(ISERROR(SEARCH("AB",AE51)))</formula>
    </cfRule>
  </conditionalFormatting>
  <conditionalFormatting sqref="AE51:AF51">
    <cfRule type="containsText" dxfId="434" priority="93" operator="containsText" text="AB">
      <formula>NOT(ISERROR(SEARCH("AB",AE51)))</formula>
    </cfRule>
    <cfRule type="containsText" dxfId="433" priority="94" operator="containsText" text="AB">
      <formula>NOT(ISERROR(SEARCH("AB",AE51)))</formula>
    </cfRule>
  </conditionalFormatting>
  <conditionalFormatting sqref="AE51:AF51">
    <cfRule type="containsText" dxfId="432" priority="92" operator="containsText" text="AB">
      <formula>NOT(ISERROR(SEARCH("AB",AE51)))</formula>
    </cfRule>
  </conditionalFormatting>
  <conditionalFormatting sqref="AF54">
    <cfRule type="containsText" dxfId="431" priority="88" operator="containsText" text="AB">
      <formula>NOT(ISERROR(SEARCH("AB",AF54)))</formula>
    </cfRule>
  </conditionalFormatting>
  <conditionalFormatting sqref="AF54">
    <cfRule type="containsText" dxfId="430" priority="86" operator="containsText" text="AB">
      <formula>NOT(ISERROR(SEARCH("AB",AF54)))</formula>
    </cfRule>
    <cfRule type="containsText" dxfId="429" priority="87" operator="containsText" text="AB">
      <formula>NOT(ISERROR(SEARCH("AB",AF54)))</formula>
    </cfRule>
  </conditionalFormatting>
  <conditionalFormatting sqref="AF54">
    <cfRule type="containsText" dxfId="428" priority="85" operator="containsText" text="AB">
      <formula>NOT(ISERROR(SEARCH("AB",AF54)))</formula>
    </cfRule>
  </conditionalFormatting>
  <conditionalFormatting sqref="AB54">
    <cfRule type="containsText" dxfId="427" priority="81" operator="containsText" text="AB">
      <formula>NOT(ISERROR(SEARCH("AB",AB54)))</formula>
    </cfRule>
  </conditionalFormatting>
  <conditionalFormatting sqref="AB54">
    <cfRule type="containsText" dxfId="426" priority="79" operator="containsText" text="AB">
      <formula>NOT(ISERROR(SEARCH("AB",AB54)))</formula>
    </cfRule>
    <cfRule type="containsText" dxfId="425" priority="80" operator="containsText" text="AB">
      <formula>NOT(ISERROR(SEARCH("AB",AB54)))</formula>
    </cfRule>
  </conditionalFormatting>
  <conditionalFormatting sqref="AB54">
    <cfRule type="containsText" dxfId="424" priority="78" operator="containsText" text="AB">
      <formula>NOT(ISERROR(SEARCH("AB",AB54)))</formula>
    </cfRule>
  </conditionalFormatting>
  <conditionalFormatting sqref="AB57">
    <cfRule type="containsText" dxfId="423" priority="74" operator="containsText" text="AB">
      <formula>NOT(ISERROR(SEARCH("AB",AB57)))</formula>
    </cfRule>
  </conditionalFormatting>
  <conditionalFormatting sqref="AB57">
    <cfRule type="containsText" dxfId="422" priority="72" operator="containsText" text="AB">
      <formula>NOT(ISERROR(SEARCH("AB",AB57)))</formula>
    </cfRule>
    <cfRule type="containsText" dxfId="421" priority="73" operator="containsText" text="AB">
      <formula>NOT(ISERROR(SEARCH("AB",AB57)))</formula>
    </cfRule>
  </conditionalFormatting>
  <conditionalFormatting sqref="AB57">
    <cfRule type="containsText" dxfId="420" priority="71" operator="containsText" text="AB">
      <formula>NOT(ISERROR(SEARCH("AB",AB57)))</formula>
    </cfRule>
  </conditionalFormatting>
  <conditionalFormatting sqref="AF57">
    <cfRule type="containsText" dxfId="419" priority="67" operator="containsText" text="AB">
      <formula>NOT(ISERROR(SEARCH("AB",AF57)))</formula>
    </cfRule>
  </conditionalFormatting>
  <conditionalFormatting sqref="AF57">
    <cfRule type="containsText" dxfId="418" priority="65" operator="containsText" text="AB">
      <formula>NOT(ISERROR(SEARCH("AB",AF57)))</formula>
    </cfRule>
    <cfRule type="containsText" dxfId="417" priority="66" operator="containsText" text="AB">
      <formula>NOT(ISERROR(SEARCH("AB",AF57)))</formula>
    </cfRule>
  </conditionalFormatting>
  <conditionalFormatting sqref="AF57">
    <cfRule type="containsText" dxfId="416" priority="64" operator="containsText" text="AB">
      <formula>NOT(ISERROR(SEARCH("AB",AF57)))</formula>
    </cfRule>
  </conditionalFormatting>
  <conditionalFormatting sqref="C64:AG64 AG62:AG63 E62:H63 J62:M63">
    <cfRule type="containsText" dxfId="415" priority="54" operator="containsText" text="AB">
      <formula>NOT(ISERROR(SEARCH("AB",C62)))</formula>
    </cfRule>
  </conditionalFormatting>
  <conditionalFormatting sqref="A62:A64 C64:AI64 AG62:AI63 E62:H63 J62:M63">
    <cfRule type="containsText" dxfId="414" priority="52" operator="containsText" text="AB">
      <formula>NOT(ISERROR(SEARCH("AB",A62)))</formula>
    </cfRule>
    <cfRule type="containsText" dxfId="413" priority="53" operator="containsText" text="AB">
      <formula>NOT(ISERROR(SEARCH("AB",A62)))</formula>
    </cfRule>
  </conditionalFormatting>
  <conditionalFormatting sqref="B62">
    <cfRule type="containsText" dxfId="412" priority="50" operator="containsText" text="AB">
      <formula>NOT(ISERROR(SEARCH("AB",B62)))</formula>
    </cfRule>
    <cfRule type="containsText" dxfId="411" priority="51" operator="containsText" text="AB">
      <formula>NOT(ISERROR(SEARCH("AB",B62)))</formula>
    </cfRule>
  </conditionalFormatting>
  <conditionalFormatting sqref="I62:I63">
    <cfRule type="containsText" dxfId="410" priority="41" operator="containsText" text="AB">
      <formula>NOT(ISERROR(SEARCH("AB",I62)))</formula>
    </cfRule>
    <cfRule type="containsText" dxfId="409" priority="42" operator="containsText" text="AB">
      <formula>NOT(ISERROR(SEARCH("AB",I62)))</formula>
    </cfRule>
  </conditionalFormatting>
  <conditionalFormatting sqref="C62:D63">
    <cfRule type="containsText" dxfId="408" priority="49" operator="containsText" text="AB">
      <formula>NOT(ISERROR(SEARCH("AB",C62)))</formula>
    </cfRule>
  </conditionalFormatting>
  <conditionalFormatting sqref="C62:D63">
    <cfRule type="containsText" dxfId="407" priority="47" operator="containsText" text="AB">
      <formula>NOT(ISERROR(SEARCH("AB",C62)))</formula>
    </cfRule>
    <cfRule type="containsText" dxfId="406" priority="48" operator="containsText" text="AB">
      <formula>NOT(ISERROR(SEARCH("AB",C62)))</formula>
    </cfRule>
  </conditionalFormatting>
  <conditionalFormatting sqref="N62:AF63">
    <cfRule type="containsText" dxfId="405" priority="46" operator="containsText" text="AB">
      <formula>NOT(ISERROR(SEARCH("AB",N62)))</formula>
    </cfRule>
  </conditionalFormatting>
  <conditionalFormatting sqref="N62:AF63">
    <cfRule type="containsText" dxfId="404" priority="44" operator="containsText" text="AB">
      <formula>NOT(ISERROR(SEARCH("AB",N62)))</formula>
    </cfRule>
    <cfRule type="containsText" dxfId="403" priority="45" operator="containsText" text="AB">
      <formula>NOT(ISERROR(SEARCH("AB",N62)))</formula>
    </cfRule>
  </conditionalFormatting>
  <conditionalFormatting sqref="I62:I63">
    <cfRule type="containsText" dxfId="402" priority="43" operator="containsText" text="AB">
      <formula>NOT(ISERROR(SEARCH("AB",I62)))</formula>
    </cfRule>
  </conditionalFormatting>
  <conditionalFormatting sqref="AG65:AG66 E65:H66 J65:M66 C67:AG67 C69:AG70">
    <cfRule type="containsText" dxfId="401" priority="40" operator="containsText" text="AB">
      <formula>NOT(ISERROR(SEARCH("AB",C65)))</formula>
    </cfRule>
  </conditionalFormatting>
  <conditionalFormatting sqref="A65:A67 AG65:AI66 E65:H66 J65:M66 C67:AI67 C69:AI70 AH68:AI68">
    <cfRule type="containsText" dxfId="400" priority="38" operator="containsText" text="AB">
      <formula>NOT(ISERROR(SEARCH("AB",A65)))</formula>
    </cfRule>
    <cfRule type="containsText" dxfId="399" priority="39" operator="containsText" text="AB">
      <formula>NOT(ISERROR(SEARCH("AB",A65)))</formula>
    </cfRule>
  </conditionalFormatting>
  <conditionalFormatting sqref="B65">
    <cfRule type="containsText" dxfId="398" priority="36" operator="containsText" text="AB">
      <formula>NOT(ISERROR(SEARCH("AB",B65)))</formula>
    </cfRule>
    <cfRule type="containsText" dxfId="397" priority="37" operator="containsText" text="AB">
      <formula>NOT(ISERROR(SEARCH("AB",B65)))</formula>
    </cfRule>
  </conditionalFormatting>
  <conditionalFormatting sqref="I65:I66">
    <cfRule type="containsText" dxfId="396" priority="27" operator="containsText" text="AB">
      <formula>NOT(ISERROR(SEARCH("AB",I65)))</formula>
    </cfRule>
    <cfRule type="containsText" dxfId="395" priority="28" operator="containsText" text="AB">
      <formula>NOT(ISERROR(SEARCH("AB",I65)))</formula>
    </cfRule>
  </conditionalFormatting>
  <conditionalFormatting sqref="C65:D66">
    <cfRule type="containsText" dxfId="394" priority="35" operator="containsText" text="AB">
      <formula>NOT(ISERROR(SEARCH("AB",C65)))</formula>
    </cfRule>
  </conditionalFormatting>
  <conditionalFormatting sqref="C65:D66">
    <cfRule type="containsText" dxfId="393" priority="33" operator="containsText" text="AB">
      <formula>NOT(ISERROR(SEARCH("AB",C65)))</formula>
    </cfRule>
    <cfRule type="containsText" dxfId="392" priority="34" operator="containsText" text="AB">
      <formula>NOT(ISERROR(SEARCH("AB",C65)))</formula>
    </cfRule>
  </conditionalFormatting>
  <conditionalFormatting sqref="N65:AF66">
    <cfRule type="containsText" dxfId="391" priority="32" operator="containsText" text="AB">
      <formula>NOT(ISERROR(SEARCH("AB",N65)))</formula>
    </cfRule>
  </conditionalFormatting>
  <conditionalFormatting sqref="N65:AF66">
    <cfRule type="containsText" dxfId="390" priority="30" operator="containsText" text="AB">
      <formula>NOT(ISERROR(SEARCH("AB",N65)))</formula>
    </cfRule>
    <cfRule type="containsText" dxfId="389" priority="31" operator="containsText" text="AB">
      <formula>NOT(ISERROR(SEARCH("AB",N65)))</formula>
    </cfRule>
  </conditionalFormatting>
  <conditionalFormatting sqref="I65:I66">
    <cfRule type="containsText" dxfId="388" priority="29" operator="containsText" text="AB">
      <formula>NOT(ISERROR(SEARCH("AB",I65)))</formula>
    </cfRule>
  </conditionalFormatting>
  <conditionalFormatting sqref="F35:I35">
    <cfRule type="containsText" dxfId="387" priority="19" operator="containsText" text="AB">
      <formula>NOT(ISERROR(SEARCH("AB",F35)))</formula>
    </cfRule>
  </conditionalFormatting>
  <conditionalFormatting sqref="F35:I35">
    <cfRule type="containsText" dxfId="386" priority="17" operator="containsText" text="AB">
      <formula>NOT(ISERROR(SEARCH("AB",F35)))</formula>
    </cfRule>
    <cfRule type="containsText" dxfId="385" priority="18" operator="containsText" text="AB">
      <formula>NOT(ISERROR(SEARCH("AB",F35)))</formula>
    </cfRule>
  </conditionalFormatting>
  <conditionalFormatting sqref="M35">
    <cfRule type="containsText" dxfId="384" priority="16" operator="containsText" text="AB">
      <formula>NOT(ISERROR(SEARCH("AB",M35)))</formula>
    </cfRule>
  </conditionalFormatting>
  <conditionalFormatting sqref="M35">
    <cfRule type="containsText" dxfId="383" priority="14" operator="containsText" text="AB">
      <formula>NOT(ISERROR(SEARCH("AB",M35)))</formula>
    </cfRule>
    <cfRule type="containsText" dxfId="382" priority="15" operator="containsText" text="AB">
      <formula>NOT(ISERROR(SEARCH("AB",M35)))</formula>
    </cfRule>
  </conditionalFormatting>
  <conditionalFormatting sqref="R35:AG35">
    <cfRule type="containsText" dxfId="381" priority="13" operator="containsText" text="AB">
      <formula>NOT(ISERROR(SEARCH("AB",R35)))</formula>
    </cfRule>
  </conditionalFormatting>
  <conditionalFormatting sqref="R35:AG35">
    <cfRule type="containsText" dxfId="380" priority="11" operator="containsText" text="AB">
      <formula>NOT(ISERROR(SEARCH("AB",R35)))</formula>
    </cfRule>
    <cfRule type="containsText" dxfId="379" priority="12" operator="containsText" text="AB">
      <formula>NOT(ISERROR(SEARCH("AB",R35)))</formula>
    </cfRule>
  </conditionalFormatting>
  <conditionalFormatting sqref="A68:A70">
    <cfRule type="containsText" dxfId="378" priority="9" operator="containsText" text="AB">
      <formula>NOT(ISERROR(SEARCH("AB",A68)))</formula>
    </cfRule>
    <cfRule type="containsText" dxfId="377" priority="10" operator="containsText" text="AB">
      <formula>NOT(ISERROR(SEARCH("AB",A68)))</formula>
    </cfRule>
  </conditionalFormatting>
  <conditionalFormatting sqref="B68">
    <cfRule type="containsText" dxfId="376" priority="7" operator="containsText" text="AB">
      <formula>NOT(ISERROR(SEARCH("AB",B68)))</formula>
    </cfRule>
    <cfRule type="containsText" dxfId="375" priority="8" operator="containsText" text="AB">
      <formula>NOT(ISERROR(SEARCH("AB",B68)))</formula>
    </cfRule>
  </conditionalFormatting>
  <conditionalFormatting sqref="C68:E68">
    <cfRule type="containsText" dxfId="374" priority="6" operator="containsText" text="AB">
      <formula>NOT(ISERROR(SEARCH("AB",C68)))</formula>
    </cfRule>
  </conditionalFormatting>
  <conditionalFormatting sqref="C68:E68">
    <cfRule type="containsText" dxfId="373" priority="4" operator="containsText" text="AB">
      <formula>NOT(ISERROR(SEARCH("AB",C68)))</formula>
    </cfRule>
    <cfRule type="containsText" dxfId="372" priority="5" operator="containsText" text="AB">
      <formula>NOT(ISERROR(SEARCH("AB",C68)))</formula>
    </cfRule>
  </conditionalFormatting>
  <conditionalFormatting sqref="F68:AG68">
    <cfRule type="containsText" dxfId="371" priority="3" operator="containsText" text="AB">
      <formula>NOT(ISERROR(SEARCH("AB",F68)))</formula>
    </cfRule>
  </conditionalFormatting>
  <conditionalFormatting sqref="F68:AG68">
    <cfRule type="containsText" dxfId="370" priority="1" operator="containsText" text="AB">
      <formula>NOT(ISERROR(SEARCH("AB",F68)))</formula>
    </cfRule>
    <cfRule type="containsText" dxfId="369" priority="2" operator="containsText" text="AB">
      <formula>NOT(ISERROR(SEARCH("AB",F68)))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FED7-1454-42D6-8CD7-EBAD39C3E570}">
  <dimension ref="A1"/>
  <sheetViews>
    <sheetView workbookViewId="0">
      <selection activeCell="J5" sqref="J5"/>
    </sheetView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67A0-2BA5-4723-8D96-58685489170A}">
  <dimension ref="A1:AU107"/>
  <sheetViews>
    <sheetView tabSelected="1" topLeftCell="A25" zoomScale="85" zoomScaleNormal="85" workbookViewId="0">
      <selection activeCell="B20" sqref="B20:B22"/>
    </sheetView>
  </sheetViews>
  <sheetFormatPr defaultRowHeight="15" x14ac:dyDescent="0.25"/>
  <cols>
    <col min="1" max="1" width="8.140625" bestFit="1" customWidth="1"/>
    <col min="2" max="2" width="35.28515625" style="32" bestFit="1" customWidth="1"/>
    <col min="3" max="3" width="5.42578125" style="65" bestFit="1" customWidth="1"/>
    <col min="4" max="4" width="5.42578125" bestFit="1" customWidth="1"/>
    <col min="5" max="5" width="5.42578125" style="90" bestFit="1" customWidth="1"/>
    <col min="6" max="11" width="5.42578125" bestFit="1" customWidth="1"/>
    <col min="12" max="12" width="5.42578125" style="90" bestFit="1" customWidth="1"/>
    <col min="13" max="18" width="5.42578125" bestFit="1" customWidth="1"/>
    <col min="19" max="19" width="5.42578125" style="90" bestFit="1" customWidth="1"/>
    <col min="20" max="25" width="5.42578125" bestFit="1" customWidth="1"/>
    <col min="26" max="26" width="5.42578125" style="90" bestFit="1" customWidth="1"/>
    <col min="27" max="29" width="5.42578125" bestFit="1" customWidth="1"/>
    <col min="30" max="30" width="5.85546875" bestFit="1" customWidth="1"/>
    <col min="31" max="32" width="5.42578125" bestFit="1" customWidth="1"/>
    <col min="33" max="33" width="5.42578125" style="90" bestFit="1" customWidth="1"/>
    <col min="34" max="34" width="13.140625" bestFit="1" customWidth="1"/>
    <col min="35" max="35" width="19.5703125" bestFit="1" customWidth="1"/>
    <col min="36" max="36" width="14" style="17" bestFit="1" customWidth="1"/>
    <col min="37" max="37" width="11.42578125" bestFit="1" customWidth="1"/>
    <col min="38" max="38" width="18.28515625" bestFit="1" customWidth="1"/>
    <col min="39" max="39" width="23.140625" style="50" bestFit="1" customWidth="1"/>
    <col min="40" max="40" width="15.28515625" style="50" bestFit="1" customWidth="1"/>
    <col min="41" max="41" width="20" bestFit="1" customWidth="1"/>
    <col min="42" max="42" width="22.42578125" bestFit="1" customWidth="1"/>
    <col min="43" max="43" width="9.5703125" bestFit="1" customWidth="1"/>
    <col min="44" max="44" width="10.28515625" bestFit="1" customWidth="1"/>
    <col min="45" max="45" width="14.28515625" bestFit="1" customWidth="1"/>
  </cols>
  <sheetData>
    <row r="1" spans="1:45" ht="28.5" x14ac:dyDescent="0.25">
      <c r="A1" s="222" t="s">
        <v>40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42"/>
      <c r="AL1" s="42"/>
      <c r="AM1" s="49"/>
      <c r="AN1" s="49"/>
      <c r="AO1" s="42"/>
      <c r="AP1" s="98"/>
      <c r="AQ1" s="87"/>
      <c r="AR1" s="55"/>
    </row>
    <row r="2" spans="1:45" ht="22.5" thickBot="1" x14ac:dyDescent="0.3">
      <c r="A2" s="223" t="s">
        <v>60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4" t="s">
        <v>48</v>
      </c>
      <c r="AL2" s="224"/>
      <c r="AM2" s="224"/>
      <c r="AN2" s="224"/>
      <c r="AO2" s="224"/>
      <c r="AP2" s="99"/>
      <c r="AQ2" s="88"/>
      <c r="AR2" s="55"/>
    </row>
    <row r="3" spans="1:45" ht="27" customHeight="1" x14ac:dyDescent="0.25">
      <c r="A3" s="225" t="s">
        <v>2</v>
      </c>
      <c r="B3" s="226" t="s">
        <v>1</v>
      </c>
      <c r="C3" s="221" t="s">
        <v>116</v>
      </c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  <c r="AF3" s="221"/>
      <c r="AG3" s="91"/>
      <c r="AH3" s="221" t="s">
        <v>53</v>
      </c>
      <c r="AI3" s="221" t="s">
        <v>54</v>
      </c>
      <c r="AJ3" s="221" t="s">
        <v>0</v>
      </c>
      <c r="AK3" s="221" t="s">
        <v>46</v>
      </c>
      <c r="AL3" s="221" t="s">
        <v>55</v>
      </c>
      <c r="AM3" s="102" t="s">
        <v>59</v>
      </c>
      <c r="AN3" s="102" t="s">
        <v>57</v>
      </c>
      <c r="AO3" s="102" t="s">
        <v>58</v>
      </c>
      <c r="AP3" s="117"/>
      <c r="AQ3" s="118"/>
      <c r="AR3" s="70"/>
      <c r="AS3" s="71"/>
    </row>
    <row r="4" spans="1:45" ht="27" customHeight="1" x14ac:dyDescent="0.25">
      <c r="A4" s="225"/>
      <c r="B4" s="226"/>
      <c r="C4" s="103">
        <v>1</v>
      </c>
      <c r="D4" s="103">
        <v>2</v>
      </c>
      <c r="E4" s="104">
        <v>3</v>
      </c>
      <c r="F4" s="103">
        <v>4</v>
      </c>
      <c r="G4" s="103">
        <v>5</v>
      </c>
      <c r="H4" s="103">
        <v>6</v>
      </c>
      <c r="I4" s="103">
        <v>7</v>
      </c>
      <c r="J4" s="103">
        <v>8</v>
      </c>
      <c r="K4" s="103">
        <v>9</v>
      </c>
      <c r="L4" s="104">
        <v>10</v>
      </c>
      <c r="M4" s="103">
        <v>11</v>
      </c>
      <c r="N4" s="103">
        <v>12</v>
      </c>
      <c r="O4" s="103">
        <v>13</v>
      </c>
      <c r="P4" s="103">
        <v>14</v>
      </c>
      <c r="Q4" s="103">
        <v>15</v>
      </c>
      <c r="R4" s="103">
        <v>16</v>
      </c>
      <c r="S4" s="104">
        <v>17</v>
      </c>
      <c r="T4" s="103">
        <v>18</v>
      </c>
      <c r="U4" s="103">
        <v>19</v>
      </c>
      <c r="V4" s="103">
        <v>20</v>
      </c>
      <c r="W4" s="103">
        <v>21</v>
      </c>
      <c r="X4" s="103">
        <v>22</v>
      </c>
      <c r="Y4" s="103">
        <v>23</v>
      </c>
      <c r="Z4" s="104">
        <v>24</v>
      </c>
      <c r="AA4" s="103">
        <v>25</v>
      </c>
      <c r="AB4" s="103">
        <v>26</v>
      </c>
      <c r="AC4" s="103">
        <v>27</v>
      </c>
      <c r="AD4" s="103">
        <v>28</v>
      </c>
      <c r="AE4" s="103">
        <v>29</v>
      </c>
      <c r="AF4" s="103">
        <v>30</v>
      </c>
      <c r="AG4" s="104">
        <v>31</v>
      </c>
      <c r="AH4" s="221"/>
      <c r="AI4" s="221"/>
      <c r="AJ4" s="221"/>
      <c r="AK4" s="221"/>
      <c r="AL4" s="221"/>
      <c r="AM4" s="102"/>
      <c r="AN4" s="102"/>
      <c r="AO4" s="102"/>
      <c r="AP4" s="119"/>
      <c r="AQ4" s="120"/>
      <c r="AR4" s="70"/>
      <c r="AS4" s="71"/>
    </row>
    <row r="5" spans="1:45" ht="12.6" customHeight="1" x14ac:dyDescent="0.25">
      <c r="A5" s="211">
        <v>1</v>
      </c>
      <c r="B5" s="212" t="s">
        <v>113</v>
      </c>
      <c r="C5" s="72" t="s">
        <v>52</v>
      </c>
      <c r="D5" s="72" t="s">
        <v>52</v>
      </c>
      <c r="E5" s="73"/>
      <c r="F5" s="72" t="s">
        <v>52</v>
      </c>
      <c r="G5" s="72" t="s">
        <v>52</v>
      </c>
      <c r="H5" s="72" t="s">
        <v>52</v>
      </c>
      <c r="I5" s="72" t="s">
        <v>52</v>
      </c>
      <c r="J5" s="72" t="s">
        <v>52</v>
      </c>
      <c r="K5" s="72" t="s">
        <v>52</v>
      </c>
      <c r="L5" s="73"/>
      <c r="M5" s="72" t="s">
        <v>52</v>
      </c>
      <c r="N5" s="72" t="s">
        <v>52</v>
      </c>
      <c r="O5" s="72" t="s">
        <v>52</v>
      </c>
      <c r="P5" s="72" t="s">
        <v>52</v>
      </c>
      <c r="Q5" s="72" t="s">
        <v>52</v>
      </c>
      <c r="R5" s="72" t="s">
        <v>52</v>
      </c>
      <c r="S5" s="73"/>
      <c r="T5" s="72" t="s">
        <v>52</v>
      </c>
      <c r="U5" s="72" t="s">
        <v>52</v>
      </c>
      <c r="V5" s="72" t="s">
        <v>52</v>
      </c>
      <c r="W5" s="72" t="s">
        <v>52</v>
      </c>
      <c r="X5" s="72" t="s">
        <v>52</v>
      </c>
      <c r="Y5" s="72" t="s">
        <v>52</v>
      </c>
      <c r="Z5" s="73"/>
      <c r="AA5" s="72" t="s">
        <v>52</v>
      </c>
      <c r="AB5" s="72" t="s">
        <v>41</v>
      </c>
      <c r="AC5" s="72" t="s">
        <v>41</v>
      </c>
      <c r="AD5" s="72" t="s">
        <v>41</v>
      </c>
      <c r="AE5" s="72" t="s">
        <v>41</v>
      </c>
      <c r="AF5" s="72" t="s">
        <v>41</v>
      </c>
      <c r="AG5" s="73" t="s">
        <v>41</v>
      </c>
      <c r="AH5" s="213">
        <f>COUNTIF(B5:AG5,"P")</f>
        <v>6</v>
      </c>
      <c r="AI5" s="213">
        <f>COUNTIF(C5:AG5,"P/2")</f>
        <v>0</v>
      </c>
      <c r="AJ5" s="214">
        <f t="shared" ref="AJ5:AJ41" si="0">SUM(C6:AG6)</f>
        <v>11</v>
      </c>
      <c r="AK5" s="215">
        <v>900</v>
      </c>
      <c r="AL5" s="218">
        <f>AK5*AI5/2</f>
        <v>0</v>
      </c>
      <c r="AM5" s="215">
        <f>AH5*AK5+AL5</f>
        <v>5400</v>
      </c>
      <c r="AN5" s="207">
        <f>AJ5/8*AK5</f>
        <v>1237.5</v>
      </c>
      <c r="AO5" s="207">
        <f>AM5+AN5</f>
        <v>6637.5</v>
      </c>
      <c r="AP5" s="191"/>
      <c r="AQ5" s="120"/>
      <c r="AR5" s="70"/>
      <c r="AS5" s="71"/>
    </row>
    <row r="6" spans="1:45" ht="12.6" customHeight="1" x14ac:dyDescent="0.25">
      <c r="A6" s="211"/>
      <c r="B6" s="212"/>
      <c r="C6" s="74"/>
      <c r="D6" s="74"/>
      <c r="E6" s="75"/>
      <c r="F6" s="74"/>
      <c r="G6" s="74"/>
      <c r="H6" s="74"/>
      <c r="I6" s="78"/>
      <c r="J6" s="74"/>
      <c r="K6" s="74"/>
      <c r="L6" s="75"/>
      <c r="M6" s="74"/>
      <c r="N6" s="74"/>
      <c r="O6" s="74"/>
      <c r="P6" s="74"/>
      <c r="Q6" s="74"/>
      <c r="R6" s="74"/>
      <c r="S6" s="75"/>
      <c r="T6" s="74"/>
      <c r="U6" s="74"/>
      <c r="V6" s="74"/>
      <c r="W6" s="74"/>
      <c r="X6" s="74"/>
      <c r="Y6" s="74"/>
      <c r="Z6" s="75"/>
      <c r="AA6" s="74"/>
      <c r="AB6" s="74">
        <v>3</v>
      </c>
      <c r="AC6" s="74"/>
      <c r="AD6" s="74">
        <v>2</v>
      </c>
      <c r="AE6" s="74">
        <v>3</v>
      </c>
      <c r="AF6" s="74">
        <v>3</v>
      </c>
      <c r="AG6" s="75"/>
      <c r="AH6" s="213"/>
      <c r="AI6" s="213"/>
      <c r="AJ6" s="214"/>
      <c r="AK6" s="215"/>
      <c r="AL6" s="218"/>
      <c r="AM6" s="215"/>
      <c r="AN6" s="207"/>
      <c r="AO6" s="207"/>
      <c r="AP6" s="191"/>
      <c r="AQ6" s="120"/>
      <c r="AR6" s="70"/>
      <c r="AS6" s="71"/>
    </row>
    <row r="7" spans="1:45" ht="12.6" customHeight="1" x14ac:dyDescent="0.25">
      <c r="A7" s="211"/>
      <c r="B7" s="212"/>
      <c r="C7" s="76"/>
      <c r="D7" s="76"/>
      <c r="E7" s="77"/>
      <c r="F7" s="76"/>
      <c r="G7" s="76"/>
      <c r="H7" s="76"/>
      <c r="I7" s="78"/>
      <c r="J7" s="76"/>
      <c r="K7" s="76"/>
      <c r="L7" s="77"/>
      <c r="M7" s="76"/>
      <c r="N7" s="76"/>
      <c r="O7" s="76"/>
      <c r="P7" s="76"/>
      <c r="Q7" s="76"/>
      <c r="R7" s="76"/>
      <c r="S7" s="77"/>
      <c r="T7" s="76"/>
      <c r="U7" s="76"/>
      <c r="V7" s="76"/>
      <c r="W7" s="76"/>
      <c r="X7" s="76"/>
      <c r="Y7" s="76"/>
      <c r="Z7" s="77"/>
      <c r="AA7" s="76"/>
      <c r="AB7" s="76"/>
      <c r="AC7" s="76"/>
      <c r="AD7" s="76"/>
      <c r="AE7" s="76"/>
      <c r="AF7" s="76"/>
      <c r="AG7" s="77"/>
      <c r="AH7" s="213"/>
      <c r="AI7" s="213"/>
      <c r="AJ7" s="214"/>
      <c r="AK7" s="215"/>
      <c r="AL7" s="218"/>
      <c r="AM7" s="215"/>
      <c r="AN7" s="207"/>
      <c r="AO7" s="207"/>
      <c r="AP7" s="191"/>
      <c r="AQ7" s="120"/>
      <c r="AR7" s="70"/>
      <c r="AS7" s="71"/>
    </row>
    <row r="8" spans="1:45" ht="15.6" customHeight="1" x14ac:dyDescent="0.25">
      <c r="A8" s="211">
        <v>2</v>
      </c>
      <c r="B8" s="212" t="s">
        <v>114</v>
      </c>
      <c r="C8" s="78" t="s">
        <v>52</v>
      </c>
      <c r="D8" s="78" t="s">
        <v>41</v>
      </c>
      <c r="E8" s="81" t="s">
        <v>41</v>
      </c>
      <c r="F8" s="78" t="s">
        <v>41</v>
      </c>
      <c r="G8" s="78" t="s">
        <v>41</v>
      </c>
      <c r="H8" s="78" t="s">
        <v>41</v>
      </c>
      <c r="I8" s="78" t="s">
        <v>41</v>
      </c>
      <c r="J8" s="78" t="s">
        <v>41</v>
      </c>
      <c r="K8" s="78" t="s">
        <v>41</v>
      </c>
      <c r="L8" s="81" t="s">
        <v>41</v>
      </c>
      <c r="M8" s="78" t="s">
        <v>41</v>
      </c>
      <c r="N8" s="79" t="s">
        <v>41</v>
      </c>
      <c r="O8" s="79" t="s">
        <v>41</v>
      </c>
      <c r="P8" s="79" t="s">
        <v>41</v>
      </c>
      <c r="Q8" s="79" t="s">
        <v>41</v>
      </c>
      <c r="R8" s="79" t="s">
        <v>41</v>
      </c>
      <c r="S8" s="80" t="s">
        <v>41</v>
      </c>
      <c r="T8" s="79" t="s">
        <v>41</v>
      </c>
      <c r="U8" s="79" t="s">
        <v>41</v>
      </c>
      <c r="V8" s="79" t="s">
        <v>41</v>
      </c>
      <c r="W8" s="79" t="s">
        <v>41</v>
      </c>
      <c r="X8" s="79" t="s">
        <v>52</v>
      </c>
      <c r="Y8" s="79" t="s">
        <v>41</v>
      </c>
      <c r="Z8" s="80" t="s">
        <v>41</v>
      </c>
      <c r="AA8" s="79" t="s">
        <v>41</v>
      </c>
      <c r="AB8" s="79" t="s">
        <v>41</v>
      </c>
      <c r="AC8" s="79" t="s">
        <v>41</v>
      </c>
      <c r="AD8" s="79" t="s">
        <v>41</v>
      </c>
      <c r="AE8" s="79" t="s">
        <v>41</v>
      </c>
      <c r="AF8" s="79" t="s">
        <v>41</v>
      </c>
      <c r="AG8" s="80" t="s">
        <v>41</v>
      </c>
      <c r="AH8" s="213">
        <f>COUNTIF(B8:AG8,"P")</f>
        <v>29</v>
      </c>
      <c r="AI8" s="213">
        <f t="shared" ref="AI8" si="1">COUNTIF(C8:AG8,"P/2")</f>
        <v>0</v>
      </c>
      <c r="AJ8" s="214">
        <f t="shared" si="0"/>
        <v>85</v>
      </c>
      <c r="AK8" s="215">
        <v>900</v>
      </c>
      <c r="AL8" s="215">
        <f>AK8*AI8/2</f>
        <v>0</v>
      </c>
      <c r="AM8" s="215">
        <f t="shared" ref="AM8" si="2">AH8*AK8+AL8</f>
        <v>26100</v>
      </c>
      <c r="AN8" s="207">
        <f t="shared" ref="AN8" si="3">AJ8/8*AK8</f>
        <v>9562.5</v>
      </c>
      <c r="AO8" s="207">
        <f t="shared" ref="AO8" si="4">AM8+AN8</f>
        <v>35662.5</v>
      </c>
      <c r="AP8" s="191"/>
      <c r="AQ8" s="120"/>
      <c r="AR8" s="116"/>
      <c r="AS8" s="71"/>
    </row>
    <row r="9" spans="1:45" ht="15.6" customHeight="1" x14ac:dyDescent="0.25">
      <c r="A9" s="211"/>
      <c r="B9" s="212"/>
      <c r="C9" s="78"/>
      <c r="D9" s="79"/>
      <c r="E9" s="80">
        <v>4</v>
      </c>
      <c r="F9" s="79">
        <v>1</v>
      </c>
      <c r="G9" s="79">
        <v>3</v>
      </c>
      <c r="H9" s="79">
        <v>4</v>
      </c>
      <c r="I9" s="78">
        <v>3</v>
      </c>
      <c r="J9" s="79">
        <v>4</v>
      </c>
      <c r="K9" s="79">
        <v>3</v>
      </c>
      <c r="L9" s="80">
        <v>5</v>
      </c>
      <c r="M9" s="79">
        <v>5</v>
      </c>
      <c r="N9" s="79">
        <v>4</v>
      </c>
      <c r="O9" s="79">
        <v>4</v>
      </c>
      <c r="P9" s="79">
        <v>3</v>
      </c>
      <c r="Q9" s="79">
        <v>3</v>
      </c>
      <c r="R9" s="79">
        <v>6</v>
      </c>
      <c r="S9" s="80">
        <v>4</v>
      </c>
      <c r="T9" s="79"/>
      <c r="U9" s="79">
        <v>4</v>
      </c>
      <c r="V9" s="79">
        <v>4</v>
      </c>
      <c r="W9" s="79">
        <v>3</v>
      </c>
      <c r="X9" s="79"/>
      <c r="Y9" s="79"/>
      <c r="Z9" s="80">
        <v>3</v>
      </c>
      <c r="AA9" s="79">
        <v>2</v>
      </c>
      <c r="AB9" s="79">
        <v>2</v>
      </c>
      <c r="AC9" s="79">
        <v>2</v>
      </c>
      <c r="AD9" s="79">
        <v>3</v>
      </c>
      <c r="AE9" s="79">
        <v>2</v>
      </c>
      <c r="AF9" s="79">
        <v>4</v>
      </c>
      <c r="AG9" s="80"/>
      <c r="AH9" s="213"/>
      <c r="AI9" s="213"/>
      <c r="AJ9" s="214"/>
      <c r="AK9" s="215"/>
      <c r="AL9" s="215"/>
      <c r="AM9" s="215"/>
      <c r="AN9" s="207"/>
      <c r="AO9" s="207"/>
      <c r="AP9" s="191"/>
      <c r="AQ9" s="120"/>
      <c r="AR9" s="116"/>
      <c r="AS9" s="71"/>
    </row>
    <row r="10" spans="1:45" ht="15.6" customHeight="1" x14ac:dyDescent="0.25">
      <c r="A10" s="211"/>
      <c r="B10" s="212"/>
      <c r="C10" s="78"/>
      <c r="D10" s="79"/>
      <c r="E10" s="80"/>
      <c r="F10" s="79"/>
      <c r="G10" s="79"/>
      <c r="H10" s="79"/>
      <c r="I10" s="78"/>
      <c r="J10" s="79"/>
      <c r="K10" s="79"/>
      <c r="L10" s="80"/>
      <c r="M10" s="79"/>
      <c r="N10" s="79"/>
      <c r="O10" s="79"/>
      <c r="P10" s="79"/>
      <c r="Q10" s="79"/>
      <c r="R10" s="79"/>
      <c r="S10" s="80"/>
      <c r="T10" s="79"/>
      <c r="U10" s="79"/>
      <c r="V10" s="79"/>
      <c r="W10" s="79"/>
      <c r="X10" s="79"/>
      <c r="Y10" s="79"/>
      <c r="Z10" s="80"/>
      <c r="AA10" s="79"/>
      <c r="AB10" s="79"/>
      <c r="AC10" s="79"/>
      <c r="AD10" s="79"/>
      <c r="AE10" s="79"/>
      <c r="AF10" s="79"/>
      <c r="AG10" s="80"/>
      <c r="AH10" s="213"/>
      <c r="AI10" s="213"/>
      <c r="AJ10" s="214"/>
      <c r="AK10" s="215"/>
      <c r="AL10" s="215"/>
      <c r="AM10" s="215"/>
      <c r="AN10" s="207"/>
      <c r="AO10" s="207"/>
      <c r="AP10" s="191"/>
      <c r="AQ10" s="120"/>
      <c r="AR10" s="116"/>
      <c r="AS10" s="71"/>
    </row>
    <row r="11" spans="1:45" ht="15.6" customHeight="1" x14ac:dyDescent="0.25">
      <c r="A11" s="211">
        <v>3</v>
      </c>
      <c r="B11" s="212" t="s">
        <v>143</v>
      </c>
      <c r="C11" s="78" t="s">
        <v>52</v>
      </c>
      <c r="D11" s="78" t="s">
        <v>41</v>
      </c>
      <c r="E11" s="81" t="s">
        <v>41</v>
      </c>
      <c r="F11" s="78" t="s">
        <v>41</v>
      </c>
      <c r="G11" s="78" t="s">
        <v>41</v>
      </c>
      <c r="H11" s="78" t="s">
        <v>41</v>
      </c>
      <c r="I11" s="78" t="s">
        <v>52</v>
      </c>
      <c r="J11" s="78" t="s">
        <v>52</v>
      </c>
      <c r="K11" s="78" t="s">
        <v>41</v>
      </c>
      <c r="L11" s="81" t="s">
        <v>41</v>
      </c>
      <c r="M11" s="78" t="s">
        <v>41</v>
      </c>
      <c r="N11" s="79" t="s">
        <v>41</v>
      </c>
      <c r="O11" s="79" t="s">
        <v>41</v>
      </c>
      <c r="P11" s="79" t="s">
        <v>41</v>
      </c>
      <c r="Q11" s="79" t="s">
        <v>41</v>
      </c>
      <c r="R11" s="79" t="s">
        <v>41</v>
      </c>
      <c r="S11" s="80" t="s">
        <v>41</v>
      </c>
      <c r="T11" s="79" t="s">
        <v>41</v>
      </c>
      <c r="U11" s="79" t="s">
        <v>41</v>
      </c>
      <c r="V11" s="79" t="s">
        <v>41</v>
      </c>
      <c r="W11" s="79" t="s">
        <v>41</v>
      </c>
      <c r="X11" s="79" t="s">
        <v>41</v>
      </c>
      <c r="Y11" s="79" t="s">
        <v>41</v>
      </c>
      <c r="Z11" s="80" t="s">
        <v>41</v>
      </c>
      <c r="AA11" s="79" t="s">
        <v>41</v>
      </c>
      <c r="AB11" s="79" t="s">
        <v>41</v>
      </c>
      <c r="AC11" s="79" t="s">
        <v>41</v>
      </c>
      <c r="AD11" s="79" t="s">
        <v>41</v>
      </c>
      <c r="AE11" s="79" t="s">
        <v>41</v>
      </c>
      <c r="AF11" s="79" t="s">
        <v>41</v>
      </c>
      <c r="AG11" s="80" t="s">
        <v>41</v>
      </c>
      <c r="AH11" s="213">
        <f>COUNTIF(B11:AG11,"P")</f>
        <v>28</v>
      </c>
      <c r="AI11" s="213">
        <f t="shared" ref="AI11" si="5">COUNTIF(C11:AG11,"P/2")</f>
        <v>0</v>
      </c>
      <c r="AJ11" s="214">
        <f t="shared" si="0"/>
        <v>84</v>
      </c>
      <c r="AK11" s="215">
        <v>900</v>
      </c>
      <c r="AL11" s="215">
        <f>AK11*AI11/2</f>
        <v>0</v>
      </c>
      <c r="AM11" s="215">
        <f t="shared" ref="AM11" si="6">AH11*AK11+AL11</f>
        <v>25200</v>
      </c>
      <c r="AN11" s="207">
        <f t="shared" ref="AN11" si="7">AJ11/8*AK11</f>
        <v>9450</v>
      </c>
      <c r="AO11" s="207">
        <f t="shared" ref="AO11" si="8">AM11+AN11</f>
        <v>34650</v>
      </c>
      <c r="AP11" s="191"/>
      <c r="AQ11" s="120"/>
      <c r="AR11" s="116"/>
      <c r="AS11" s="71"/>
    </row>
    <row r="12" spans="1:45" ht="15.6" customHeight="1" x14ac:dyDescent="0.25">
      <c r="A12" s="211"/>
      <c r="B12" s="212"/>
      <c r="C12" s="78"/>
      <c r="D12" s="79"/>
      <c r="E12" s="80">
        <v>4</v>
      </c>
      <c r="F12" s="79">
        <v>1</v>
      </c>
      <c r="G12" s="79">
        <v>1</v>
      </c>
      <c r="H12" s="79">
        <v>1</v>
      </c>
      <c r="I12" s="78"/>
      <c r="J12" s="79"/>
      <c r="K12" s="79">
        <v>2</v>
      </c>
      <c r="L12" s="80">
        <v>5</v>
      </c>
      <c r="M12" s="79">
        <v>2</v>
      </c>
      <c r="N12" s="79">
        <v>3</v>
      </c>
      <c r="O12" s="79">
        <v>5</v>
      </c>
      <c r="P12" s="79">
        <v>4</v>
      </c>
      <c r="Q12" s="79">
        <v>2</v>
      </c>
      <c r="R12" s="79">
        <v>2</v>
      </c>
      <c r="S12" s="80">
        <v>4</v>
      </c>
      <c r="T12" s="79"/>
      <c r="U12" s="79">
        <v>6</v>
      </c>
      <c r="V12" s="79">
        <v>6</v>
      </c>
      <c r="W12" s="79">
        <v>4</v>
      </c>
      <c r="X12" s="79">
        <v>4</v>
      </c>
      <c r="Y12" s="79">
        <v>3</v>
      </c>
      <c r="Z12" s="80">
        <v>3</v>
      </c>
      <c r="AA12" s="79">
        <v>3</v>
      </c>
      <c r="AB12" s="79">
        <v>3</v>
      </c>
      <c r="AC12" s="79">
        <v>4</v>
      </c>
      <c r="AD12" s="79">
        <v>4</v>
      </c>
      <c r="AE12" s="79">
        <v>3</v>
      </c>
      <c r="AF12" s="79">
        <v>3</v>
      </c>
      <c r="AG12" s="80">
        <v>2</v>
      </c>
      <c r="AH12" s="213"/>
      <c r="AI12" s="213"/>
      <c r="AJ12" s="214"/>
      <c r="AK12" s="215"/>
      <c r="AL12" s="215"/>
      <c r="AM12" s="215"/>
      <c r="AN12" s="207"/>
      <c r="AO12" s="207"/>
      <c r="AP12" s="191"/>
      <c r="AQ12" s="120"/>
      <c r="AR12" s="116"/>
      <c r="AS12" s="71"/>
    </row>
    <row r="13" spans="1:45" ht="15.6" customHeight="1" x14ac:dyDescent="0.25">
      <c r="A13" s="211"/>
      <c r="B13" s="212"/>
      <c r="C13" s="78"/>
      <c r="D13" s="79"/>
      <c r="E13" s="80"/>
      <c r="F13" s="79"/>
      <c r="G13" s="79"/>
      <c r="H13" s="79"/>
      <c r="I13" s="78"/>
      <c r="J13" s="79"/>
      <c r="K13" s="79"/>
      <c r="L13" s="80"/>
      <c r="M13" s="79"/>
      <c r="N13" s="79"/>
      <c r="O13" s="79"/>
      <c r="P13" s="79"/>
      <c r="Q13" s="79"/>
      <c r="R13" s="79"/>
      <c r="S13" s="80"/>
      <c r="T13" s="79"/>
      <c r="U13" s="79"/>
      <c r="V13" s="79"/>
      <c r="W13" s="79"/>
      <c r="X13" s="79"/>
      <c r="Y13" s="79"/>
      <c r="Z13" s="80"/>
      <c r="AA13" s="79"/>
      <c r="AB13" s="79"/>
      <c r="AC13" s="79"/>
      <c r="AD13" s="79"/>
      <c r="AE13" s="79"/>
      <c r="AF13" s="79"/>
      <c r="AG13" s="80"/>
      <c r="AH13" s="213"/>
      <c r="AI13" s="213"/>
      <c r="AJ13" s="214"/>
      <c r="AK13" s="215"/>
      <c r="AL13" s="215"/>
      <c r="AM13" s="215"/>
      <c r="AN13" s="207"/>
      <c r="AO13" s="207"/>
      <c r="AP13" s="191"/>
      <c r="AQ13" s="120"/>
      <c r="AR13" s="116"/>
      <c r="AS13" s="71"/>
    </row>
    <row r="14" spans="1:45" ht="15.6" customHeight="1" x14ac:dyDescent="0.25">
      <c r="A14" s="211">
        <v>4</v>
      </c>
      <c r="B14" s="212" t="s">
        <v>67</v>
      </c>
      <c r="C14" s="78" t="s">
        <v>52</v>
      </c>
      <c r="D14" s="78" t="s">
        <v>41</v>
      </c>
      <c r="E14" s="81" t="s">
        <v>41</v>
      </c>
      <c r="F14" s="78" t="s">
        <v>41</v>
      </c>
      <c r="G14" s="78" t="s">
        <v>41</v>
      </c>
      <c r="H14" s="78" t="s">
        <v>41</v>
      </c>
      <c r="I14" s="78" t="s">
        <v>41</v>
      </c>
      <c r="J14" s="78" t="s">
        <v>41</v>
      </c>
      <c r="K14" s="78" t="s">
        <v>41</v>
      </c>
      <c r="L14" s="81" t="s">
        <v>41</v>
      </c>
      <c r="M14" s="79" t="s">
        <v>41</v>
      </c>
      <c r="N14" s="79" t="s">
        <v>41</v>
      </c>
      <c r="O14" s="79" t="s">
        <v>41</v>
      </c>
      <c r="P14" s="79" t="s">
        <v>41</v>
      </c>
      <c r="Q14" s="79" t="s">
        <v>41</v>
      </c>
      <c r="R14" s="79" t="s">
        <v>41</v>
      </c>
      <c r="S14" s="80" t="s">
        <v>41</v>
      </c>
      <c r="T14" s="79" t="s">
        <v>41</v>
      </c>
      <c r="U14" s="79" t="s">
        <v>41</v>
      </c>
      <c r="V14" s="79" t="s">
        <v>41</v>
      </c>
      <c r="W14" s="79" t="s">
        <v>41</v>
      </c>
      <c r="X14" s="79" t="s">
        <v>41</v>
      </c>
      <c r="Y14" s="79" t="s">
        <v>41</v>
      </c>
      <c r="Z14" s="80" t="s">
        <v>41</v>
      </c>
      <c r="AA14" s="79" t="s">
        <v>41</v>
      </c>
      <c r="AB14" s="79" t="s">
        <v>41</v>
      </c>
      <c r="AC14" s="79" t="s">
        <v>41</v>
      </c>
      <c r="AD14" s="79" t="s">
        <v>41</v>
      </c>
      <c r="AE14" s="79" t="s">
        <v>41</v>
      </c>
      <c r="AF14" s="79" t="s">
        <v>41</v>
      </c>
      <c r="AG14" s="80" t="s">
        <v>41</v>
      </c>
      <c r="AH14" s="213">
        <f>COUNTIF(B14:AG14,"P")</f>
        <v>30</v>
      </c>
      <c r="AI14" s="213">
        <f t="shared" ref="AI14" si="9">COUNTIF(C14:AG14,"P/2")</f>
        <v>0</v>
      </c>
      <c r="AJ14" s="214">
        <f t="shared" si="0"/>
        <v>89</v>
      </c>
      <c r="AK14" s="215">
        <v>850</v>
      </c>
      <c r="AL14" s="215">
        <f t="shared" ref="AL14" si="10">AK14*AI14/2</f>
        <v>0</v>
      </c>
      <c r="AM14" s="215">
        <f t="shared" ref="AM14" si="11">AH14*AK14+AL14</f>
        <v>25500</v>
      </c>
      <c r="AN14" s="207">
        <f t="shared" ref="AN14" si="12">AJ14/8*AK14</f>
        <v>9456.25</v>
      </c>
      <c r="AO14" s="207">
        <f t="shared" ref="AO14" si="13">AM14+AN14</f>
        <v>34956.25</v>
      </c>
      <c r="AP14" s="191"/>
      <c r="AQ14" s="120"/>
      <c r="AR14" s="116"/>
      <c r="AS14" s="71"/>
    </row>
    <row r="15" spans="1:45" ht="15.6" customHeight="1" x14ac:dyDescent="0.25">
      <c r="A15" s="211"/>
      <c r="B15" s="212"/>
      <c r="C15" s="78"/>
      <c r="D15" s="79"/>
      <c r="E15" s="80">
        <v>4</v>
      </c>
      <c r="F15" s="79">
        <v>1</v>
      </c>
      <c r="G15" s="79">
        <v>1</v>
      </c>
      <c r="H15" s="79">
        <v>1</v>
      </c>
      <c r="I15" s="78">
        <v>2</v>
      </c>
      <c r="J15" s="79">
        <v>2</v>
      </c>
      <c r="K15" s="79">
        <v>2</v>
      </c>
      <c r="L15" s="80">
        <v>5</v>
      </c>
      <c r="M15" s="79">
        <v>2</v>
      </c>
      <c r="N15" s="79">
        <v>3</v>
      </c>
      <c r="O15" s="79">
        <v>3</v>
      </c>
      <c r="P15" s="79">
        <v>3</v>
      </c>
      <c r="Q15" s="79">
        <v>6</v>
      </c>
      <c r="R15" s="79">
        <v>2</v>
      </c>
      <c r="S15" s="80">
        <v>4</v>
      </c>
      <c r="T15" s="79"/>
      <c r="U15" s="79">
        <v>6</v>
      </c>
      <c r="V15" s="79">
        <v>6</v>
      </c>
      <c r="W15" s="79">
        <v>4</v>
      </c>
      <c r="X15" s="79">
        <v>4</v>
      </c>
      <c r="Y15" s="79">
        <v>3</v>
      </c>
      <c r="Z15" s="80">
        <v>3</v>
      </c>
      <c r="AA15" s="79">
        <v>3</v>
      </c>
      <c r="AB15" s="79">
        <v>3</v>
      </c>
      <c r="AC15" s="79">
        <v>4</v>
      </c>
      <c r="AD15" s="79">
        <v>4</v>
      </c>
      <c r="AE15" s="79">
        <v>3</v>
      </c>
      <c r="AF15" s="79">
        <v>3</v>
      </c>
      <c r="AG15" s="80">
        <v>2</v>
      </c>
      <c r="AH15" s="213"/>
      <c r="AI15" s="213"/>
      <c r="AJ15" s="214"/>
      <c r="AK15" s="215"/>
      <c r="AL15" s="215"/>
      <c r="AM15" s="215"/>
      <c r="AN15" s="207"/>
      <c r="AO15" s="207"/>
      <c r="AP15" s="191"/>
      <c r="AQ15" s="120"/>
      <c r="AR15" s="116"/>
      <c r="AS15" s="71"/>
    </row>
    <row r="16" spans="1:45" ht="15.6" customHeight="1" x14ac:dyDescent="0.25">
      <c r="A16" s="211"/>
      <c r="B16" s="212"/>
      <c r="C16" s="78"/>
      <c r="D16" s="79"/>
      <c r="E16" s="80"/>
      <c r="F16" s="79"/>
      <c r="G16" s="79"/>
      <c r="H16" s="79"/>
      <c r="I16" s="78"/>
      <c r="J16" s="79"/>
      <c r="K16" s="79"/>
      <c r="L16" s="80"/>
      <c r="M16" s="79"/>
      <c r="N16" s="79"/>
      <c r="O16" s="79"/>
      <c r="P16" s="79"/>
      <c r="Q16" s="79"/>
      <c r="R16" s="79"/>
      <c r="S16" s="80"/>
      <c r="T16" s="79"/>
      <c r="U16" s="79"/>
      <c r="V16" s="79"/>
      <c r="W16" s="79"/>
      <c r="X16" s="79"/>
      <c r="Y16" s="79"/>
      <c r="Z16" s="80"/>
      <c r="AA16" s="79"/>
      <c r="AB16" s="79"/>
      <c r="AC16" s="79"/>
      <c r="AD16" s="79"/>
      <c r="AE16" s="79"/>
      <c r="AF16" s="79"/>
      <c r="AG16" s="80"/>
      <c r="AH16" s="213"/>
      <c r="AI16" s="213"/>
      <c r="AJ16" s="214"/>
      <c r="AK16" s="215"/>
      <c r="AL16" s="215"/>
      <c r="AM16" s="215"/>
      <c r="AN16" s="207"/>
      <c r="AO16" s="207"/>
      <c r="AP16" s="191"/>
      <c r="AQ16" s="120"/>
      <c r="AR16" s="116"/>
      <c r="AS16" s="71"/>
    </row>
    <row r="17" spans="1:45" ht="15.6" customHeight="1" x14ac:dyDescent="0.25">
      <c r="A17" s="211">
        <v>5</v>
      </c>
      <c r="B17" s="212" t="s">
        <v>117</v>
      </c>
      <c r="C17" s="82" t="s">
        <v>52</v>
      </c>
      <c r="D17" s="79" t="s">
        <v>41</v>
      </c>
      <c r="E17" s="80" t="s">
        <v>41</v>
      </c>
      <c r="F17" s="79" t="s">
        <v>41</v>
      </c>
      <c r="G17" s="79" t="s">
        <v>41</v>
      </c>
      <c r="H17" s="79" t="s">
        <v>41</v>
      </c>
      <c r="I17" s="79" t="s">
        <v>41</v>
      </c>
      <c r="J17" s="79" t="s">
        <v>41</v>
      </c>
      <c r="K17" s="79" t="s">
        <v>41</v>
      </c>
      <c r="L17" s="80" t="s">
        <v>41</v>
      </c>
      <c r="M17" s="79" t="s">
        <v>41</v>
      </c>
      <c r="N17" s="79" t="s">
        <v>41</v>
      </c>
      <c r="O17" s="79" t="s">
        <v>41</v>
      </c>
      <c r="P17" s="79" t="s">
        <v>41</v>
      </c>
      <c r="Q17" s="79" t="s">
        <v>41</v>
      </c>
      <c r="R17" s="79" t="s">
        <v>41</v>
      </c>
      <c r="S17" s="80" t="s">
        <v>41</v>
      </c>
      <c r="T17" s="79" t="s">
        <v>41</v>
      </c>
      <c r="U17" s="79" t="s">
        <v>41</v>
      </c>
      <c r="V17" s="79" t="s">
        <v>41</v>
      </c>
      <c r="W17" s="79" t="s">
        <v>41</v>
      </c>
      <c r="X17" s="79" t="s">
        <v>52</v>
      </c>
      <c r="Y17" s="79" t="s">
        <v>41</v>
      </c>
      <c r="Z17" s="80" t="s">
        <v>41</v>
      </c>
      <c r="AA17" s="79" t="s">
        <v>41</v>
      </c>
      <c r="AB17" s="79" t="s">
        <v>41</v>
      </c>
      <c r="AC17" s="79" t="s">
        <v>41</v>
      </c>
      <c r="AD17" s="79" t="s">
        <v>41</v>
      </c>
      <c r="AE17" s="79" t="s">
        <v>41</v>
      </c>
      <c r="AF17" s="79" t="s">
        <v>41</v>
      </c>
      <c r="AG17" s="80" t="s">
        <v>41</v>
      </c>
      <c r="AH17" s="213">
        <f>COUNTIF(B17:AG17,"P")</f>
        <v>29</v>
      </c>
      <c r="AI17" s="213">
        <f t="shared" ref="AI17" si="14">COUNTIF(C17:AG17,"P/2")</f>
        <v>0</v>
      </c>
      <c r="AJ17" s="214">
        <f t="shared" si="0"/>
        <v>71</v>
      </c>
      <c r="AK17" s="215">
        <v>900</v>
      </c>
      <c r="AL17" s="215">
        <f>AK17*AI17/2</f>
        <v>0</v>
      </c>
      <c r="AM17" s="215">
        <f t="shared" ref="AM17" si="15">AH17*AK17+AL17</f>
        <v>26100</v>
      </c>
      <c r="AN17" s="207">
        <f t="shared" ref="AN17" si="16">AJ17/8*AK17</f>
        <v>7987.5</v>
      </c>
      <c r="AO17" s="207">
        <f t="shared" ref="AO17" si="17">AM17+AN17</f>
        <v>34087.5</v>
      </c>
      <c r="AP17" s="191"/>
      <c r="AQ17" s="120"/>
      <c r="AR17" s="116"/>
      <c r="AS17" s="71"/>
    </row>
    <row r="18" spans="1:45" ht="15.6" customHeight="1" x14ac:dyDescent="0.25">
      <c r="A18" s="211"/>
      <c r="B18" s="212"/>
      <c r="C18" s="78"/>
      <c r="D18" s="79"/>
      <c r="E18" s="80">
        <v>2</v>
      </c>
      <c r="F18" s="79">
        <v>3</v>
      </c>
      <c r="G18" s="79">
        <v>3</v>
      </c>
      <c r="H18" s="79">
        <v>4</v>
      </c>
      <c r="I18" s="78">
        <v>3</v>
      </c>
      <c r="J18" s="79">
        <v>3</v>
      </c>
      <c r="K18" s="79">
        <v>3</v>
      </c>
      <c r="L18" s="80"/>
      <c r="M18" s="79">
        <v>2</v>
      </c>
      <c r="N18" s="79">
        <v>3</v>
      </c>
      <c r="O18" s="79">
        <v>3</v>
      </c>
      <c r="P18" s="79">
        <v>3</v>
      </c>
      <c r="Q18" s="79">
        <v>3</v>
      </c>
      <c r="R18" s="79">
        <v>3</v>
      </c>
      <c r="S18" s="80">
        <v>4</v>
      </c>
      <c r="T18" s="79">
        <v>3</v>
      </c>
      <c r="U18" s="79">
        <v>3</v>
      </c>
      <c r="V18" s="79">
        <v>2</v>
      </c>
      <c r="W18" s="79">
        <v>4</v>
      </c>
      <c r="X18" s="79"/>
      <c r="Y18" s="79">
        <v>2</v>
      </c>
      <c r="Z18" s="80"/>
      <c r="AA18" s="79"/>
      <c r="AB18" s="79">
        <v>2</v>
      </c>
      <c r="AC18" s="79">
        <v>3</v>
      </c>
      <c r="AD18" s="79">
        <v>4</v>
      </c>
      <c r="AE18" s="79">
        <v>3</v>
      </c>
      <c r="AF18" s="79">
        <v>3</v>
      </c>
      <c r="AG18" s="80"/>
      <c r="AH18" s="213"/>
      <c r="AI18" s="213"/>
      <c r="AJ18" s="214"/>
      <c r="AK18" s="215"/>
      <c r="AL18" s="215"/>
      <c r="AM18" s="215"/>
      <c r="AN18" s="207"/>
      <c r="AO18" s="207"/>
      <c r="AP18" s="191"/>
      <c r="AQ18" s="120"/>
      <c r="AR18" s="71"/>
      <c r="AS18" s="71"/>
    </row>
    <row r="19" spans="1:45" ht="15.6" customHeight="1" x14ac:dyDescent="0.25">
      <c r="A19" s="211"/>
      <c r="B19" s="212"/>
      <c r="C19" s="78"/>
      <c r="D19" s="79"/>
      <c r="E19" s="80"/>
      <c r="F19" s="79"/>
      <c r="G19" s="79"/>
      <c r="H19" s="79"/>
      <c r="I19" s="78"/>
      <c r="J19" s="79"/>
      <c r="K19" s="79"/>
      <c r="L19" s="80"/>
      <c r="M19" s="79"/>
      <c r="N19" s="79"/>
      <c r="O19" s="79"/>
      <c r="P19" s="79"/>
      <c r="Q19" s="79"/>
      <c r="R19" s="79"/>
      <c r="S19" s="80"/>
      <c r="T19" s="79"/>
      <c r="U19" s="79"/>
      <c r="V19" s="79"/>
      <c r="W19" s="79"/>
      <c r="X19" s="79"/>
      <c r="Y19" s="79"/>
      <c r="Z19" s="80"/>
      <c r="AA19" s="79"/>
      <c r="AB19" s="79"/>
      <c r="AC19" s="79"/>
      <c r="AD19" s="79"/>
      <c r="AE19" s="79"/>
      <c r="AF19" s="79"/>
      <c r="AG19" s="80"/>
      <c r="AH19" s="213"/>
      <c r="AI19" s="213"/>
      <c r="AJ19" s="214"/>
      <c r="AK19" s="215"/>
      <c r="AL19" s="215"/>
      <c r="AM19" s="215"/>
      <c r="AN19" s="207"/>
      <c r="AO19" s="207"/>
      <c r="AP19" s="191"/>
      <c r="AQ19" s="120"/>
      <c r="AR19" s="71"/>
      <c r="AS19" s="71"/>
    </row>
    <row r="20" spans="1:45" ht="15.6" customHeight="1" x14ac:dyDescent="0.25">
      <c r="A20" s="211">
        <v>6</v>
      </c>
      <c r="B20" s="212" t="s">
        <v>147</v>
      </c>
      <c r="C20" s="78" t="s">
        <v>52</v>
      </c>
      <c r="D20" s="78" t="s">
        <v>41</v>
      </c>
      <c r="E20" s="81" t="s">
        <v>41</v>
      </c>
      <c r="F20" s="78" t="s">
        <v>41</v>
      </c>
      <c r="G20" s="78" t="s">
        <v>41</v>
      </c>
      <c r="H20" s="78" t="s">
        <v>41</v>
      </c>
      <c r="I20" s="78" t="s">
        <v>41</v>
      </c>
      <c r="J20" s="78" t="s">
        <v>41</v>
      </c>
      <c r="K20" s="78" t="s">
        <v>41</v>
      </c>
      <c r="L20" s="81" t="s">
        <v>41</v>
      </c>
      <c r="M20" s="78" t="s">
        <v>41</v>
      </c>
      <c r="N20" s="79" t="s">
        <v>41</v>
      </c>
      <c r="O20" s="79" t="s">
        <v>41</v>
      </c>
      <c r="P20" s="79" t="s">
        <v>41</v>
      </c>
      <c r="Q20" s="79" t="s">
        <v>41</v>
      </c>
      <c r="R20" s="79" t="s">
        <v>41</v>
      </c>
      <c r="S20" s="80" t="s">
        <v>41</v>
      </c>
      <c r="T20" s="79" t="s">
        <v>52</v>
      </c>
      <c r="U20" s="79" t="s">
        <v>41</v>
      </c>
      <c r="V20" s="79" t="s">
        <v>41</v>
      </c>
      <c r="W20" s="79" t="s">
        <v>41</v>
      </c>
      <c r="X20" s="79" t="s">
        <v>52</v>
      </c>
      <c r="Y20" s="79" t="s">
        <v>52</v>
      </c>
      <c r="Z20" s="80" t="s">
        <v>41</v>
      </c>
      <c r="AA20" s="79" t="s">
        <v>52</v>
      </c>
      <c r="AB20" s="79" t="s">
        <v>41</v>
      </c>
      <c r="AC20" s="79" t="s">
        <v>41</v>
      </c>
      <c r="AD20" s="79" t="s">
        <v>41</v>
      </c>
      <c r="AE20" s="79" t="s">
        <v>41</v>
      </c>
      <c r="AF20" s="79" t="s">
        <v>41</v>
      </c>
      <c r="AG20" s="80" t="s">
        <v>41</v>
      </c>
      <c r="AH20" s="213">
        <f>COUNTIF(B20:AG20,"P")</f>
        <v>26</v>
      </c>
      <c r="AI20" s="213">
        <f t="shared" ref="AI20" si="18">COUNTIF(C20:AG20,"P/2")</f>
        <v>0</v>
      </c>
      <c r="AJ20" s="214">
        <f t="shared" si="0"/>
        <v>80</v>
      </c>
      <c r="AK20" s="215">
        <v>700</v>
      </c>
      <c r="AL20" s="215">
        <f>AK20*AI20/2</f>
        <v>0</v>
      </c>
      <c r="AM20" s="215">
        <f t="shared" ref="AM20" si="19">AH20*AK20+AL20</f>
        <v>18200</v>
      </c>
      <c r="AN20" s="207">
        <f t="shared" ref="AN20" si="20">AJ20/8*AK20</f>
        <v>7000</v>
      </c>
      <c r="AO20" s="207">
        <f t="shared" ref="AO20" si="21">AM20+AN20</f>
        <v>25200</v>
      </c>
      <c r="AP20" s="191"/>
      <c r="AQ20" s="120"/>
      <c r="AR20" s="71"/>
      <c r="AS20" s="71"/>
    </row>
    <row r="21" spans="1:45" ht="15.6" customHeight="1" x14ac:dyDescent="0.25">
      <c r="A21" s="211"/>
      <c r="B21" s="212"/>
      <c r="C21" s="78"/>
      <c r="D21" s="79"/>
      <c r="E21" s="80">
        <v>4</v>
      </c>
      <c r="F21" s="79">
        <v>3</v>
      </c>
      <c r="G21" s="79">
        <v>3</v>
      </c>
      <c r="H21" s="79">
        <v>4</v>
      </c>
      <c r="I21" s="78">
        <v>3</v>
      </c>
      <c r="J21" s="79">
        <v>4</v>
      </c>
      <c r="K21" s="79">
        <v>3</v>
      </c>
      <c r="L21" s="80">
        <v>5</v>
      </c>
      <c r="M21" s="79">
        <v>5</v>
      </c>
      <c r="N21" s="79">
        <v>4</v>
      </c>
      <c r="O21" s="79">
        <v>4</v>
      </c>
      <c r="P21" s="79">
        <v>3</v>
      </c>
      <c r="Q21" s="79">
        <v>3</v>
      </c>
      <c r="R21" s="79">
        <v>6</v>
      </c>
      <c r="S21" s="80">
        <v>4</v>
      </c>
      <c r="T21" s="79"/>
      <c r="U21" s="79">
        <v>4</v>
      </c>
      <c r="V21" s="79">
        <v>4</v>
      </c>
      <c r="W21" s="79">
        <v>3</v>
      </c>
      <c r="X21" s="79"/>
      <c r="Y21" s="79"/>
      <c r="Z21" s="80"/>
      <c r="AA21" s="79"/>
      <c r="AB21" s="79">
        <v>3</v>
      </c>
      <c r="AC21" s="79"/>
      <c r="AD21" s="79">
        <v>2</v>
      </c>
      <c r="AE21" s="79">
        <v>3</v>
      </c>
      <c r="AF21" s="79">
        <v>3</v>
      </c>
      <c r="AG21" s="80"/>
      <c r="AH21" s="213"/>
      <c r="AI21" s="213"/>
      <c r="AJ21" s="214"/>
      <c r="AK21" s="215"/>
      <c r="AL21" s="215"/>
      <c r="AM21" s="215"/>
      <c r="AN21" s="207"/>
      <c r="AO21" s="207"/>
      <c r="AP21" s="191"/>
      <c r="AQ21" s="120"/>
      <c r="AR21" s="71"/>
      <c r="AS21" s="71"/>
    </row>
    <row r="22" spans="1:45" ht="15.6" customHeight="1" x14ac:dyDescent="0.25">
      <c r="A22" s="211"/>
      <c r="B22" s="212"/>
      <c r="C22" s="78"/>
      <c r="D22" s="79"/>
      <c r="E22" s="80"/>
      <c r="F22" s="79"/>
      <c r="G22" s="79"/>
      <c r="H22" s="79"/>
      <c r="I22" s="78"/>
      <c r="J22" s="79"/>
      <c r="K22" s="79"/>
      <c r="L22" s="80"/>
      <c r="M22" s="79"/>
      <c r="N22" s="79"/>
      <c r="O22" s="79"/>
      <c r="P22" s="79"/>
      <c r="Q22" s="79"/>
      <c r="R22" s="79"/>
      <c r="S22" s="80"/>
      <c r="T22" s="79"/>
      <c r="U22" s="79"/>
      <c r="V22" s="79"/>
      <c r="W22" s="79"/>
      <c r="X22" s="79"/>
      <c r="Y22" s="79"/>
      <c r="Z22" s="80"/>
      <c r="AA22" s="79"/>
      <c r="AB22" s="79"/>
      <c r="AC22" s="79"/>
      <c r="AD22" s="79"/>
      <c r="AE22" s="79"/>
      <c r="AF22" s="79"/>
      <c r="AG22" s="80"/>
      <c r="AH22" s="213"/>
      <c r="AI22" s="213"/>
      <c r="AJ22" s="214"/>
      <c r="AK22" s="215"/>
      <c r="AL22" s="215"/>
      <c r="AM22" s="215"/>
      <c r="AN22" s="207"/>
      <c r="AO22" s="207"/>
      <c r="AP22" s="191"/>
      <c r="AQ22" s="120"/>
      <c r="AR22" s="71"/>
      <c r="AS22" s="71"/>
    </row>
    <row r="23" spans="1:45" ht="15.6" customHeight="1" x14ac:dyDescent="0.25">
      <c r="A23" s="211">
        <v>7</v>
      </c>
      <c r="B23" s="212" t="s">
        <v>146</v>
      </c>
      <c r="C23" s="78" t="s">
        <v>52</v>
      </c>
      <c r="D23" s="79" t="s">
        <v>41</v>
      </c>
      <c r="E23" s="80" t="s">
        <v>41</v>
      </c>
      <c r="F23" s="79" t="s">
        <v>41</v>
      </c>
      <c r="G23" s="79" t="s">
        <v>41</v>
      </c>
      <c r="H23" s="79" t="s">
        <v>41</v>
      </c>
      <c r="I23" s="78" t="s">
        <v>41</v>
      </c>
      <c r="J23" s="79" t="s">
        <v>41</v>
      </c>
      <c r="K23" s="79" t="s">
        <v>41</v>
      </c>
      <c r="L23" s="80" t="s">
        <v>41</v>
      </c>
      <c r="M23" s="79" t="s">
        <v>41</v>
      </c>
      <c r="N23" s="79" t="s">
        <v>41</v>
      </c>
      <c r="O23" s="79" t="s">
        <v>41</v>
      </c>
      <c r="P23" s="79" t="s">
        <v>41</v>
      </c>
      <c r="Q23" s="79" t="s">
        <v>41</v>
      </c>
      <c r="R23" s="79" t="s">
        <v>41</v>
      </c>
      <c r="S23" s="80" t="s">
        <v>41</v>
      </c>
      <c r="T23" s="79" t="s">
        <v>41</v>
      </c>
      <c r="U23" s="79" t="s">
        <v>41</v>
      </c>
      <c r="V23" s="79" t="s">
        <v>41</v>
      </c>
      <c r="W23" s="79" t="s">
        <v>41</v>
      </c>
      <c r="X23" s="79" t="s">
        <v>52</v>
      </c>
      <c r="Y23" s="79" t="s">
        <v>41</v>
      </c>
      <c r="Z23" s="80" t="s">
        <v>41</v>
      </c>
      <c r="AA23" s="79" t="s">
        <v>52</v>
      </c>
      <c r="AB23" s="79" t="s">
        <v>41</v>
      </c>
      <c r="AC23" s="79" t="s">
        <v>41</v>
      </c>
      <c r="AD23" s="79" t="s">
        <v>41</v>
      </c>
      <c r="AE23" s="79" t="s">
        <v>41</v>
      </c>
      <c r="AF23" s="79" t="s">
        <v>41</v>
      </c>
      <c r="AG23" s="80" t="s">
        <v>41</v>
      </c>
      <c r="AH23" s="213">
        <f>COUNTIF(B23:AG23,"P")</f>
        <v>28</v>
      </c>
      <c r="AI23" s="213">
        <f t="shared" ref="AI23" si="22">COUNTIF(C23:AG23,"P/2")</f>
        <v>0</v>
      </c>
      <c r="AJ23" s="214">
        <f t="shared" si="0"/>
        <v>61</v>
      </c>
      <c r="AK23" s="215">
        <v>600</v>
      </c>
      <c r="AL23" s="215">
        <f>AK23*AI23/2</f>
        <v>0</v>
      </c>
      <c r="AM23" s="215">
        <f t="shared" ref="AM23" si="23">AH23*AK23+AL23</f>
        <v>16800</v>
      </c>
      <c r="AN23" s="207">
        <f t="shared" ref="AN23" si="24">AJ23/8*AK23</f>
        <v>4575</v>
      </c>
      <c r="AO23" s="207">
        <f t="shared" ref="AO23" si="25">AM23+AN23</f>
        <v>21375</v>
      </c>
      <c r="AP23" s="191"/>
      <c r="AQ23" s="120"/>
      <c r="AR23" s="71"/>
      <c r="AS23" s="71"/>
    </row>
    <row r="24" spans="1:45" ht="15.6" customHeight="1" x14ac:dyDescent="0.25">
      <c r="A24" s="211"/>
      <c r="B24" s="212"/>
      <c r="C24" s="78"/>
      <c r="D24" s="79"/>
      <c r="E24" s="80"/>
      <c r="F24" s="79">
        <v>1</v>
      </c>
      <c r="G24" s="79">
        <v>2</v>
      </c>
      <c r="H24" s="79">
        <v>2</v>
      </c>
      <c r="I24" s="78">
        <v>1</v>
      </c>
      <c r="J24" s="79">
        <v>2</v>
      </c>
      <c r="K24" s="79">
        <v>2</v>
      </c>
      <c r="L24" s="80">
        <v>5</v>
      </c>
      <c r="M24" s="79">
        <v>2</v>
      </c>
      <c r="N24" s="79">
        <v>5</v>
      </c>
      <c r="O24" s="79">
        <v>4</v>
      </c>
      <c r="P24" s="79">
        <v>2</v>
      </c>
      <c r="Q24" s="79">
        <v>5</v>
      </c>
      <c r="R24" s="79">
        <v>3</v>
      </c>
      <c r="S24" s="80"/>
      <c r="T24" s="79">
        <v>3</v>
      </c>
      <c r="U24" s="79">
        <v>2</v>
      </c>
      <c r="V24" s="79">
        <v>9</v>
      </c>
      <c r="W24" s="79"/>
      <c r="X24" s="79"/>
      <c r="Y24" s="79">
        <v>2</v>
      </c>
      <c r="Z24" s="80"/>
      <c r="AA24" s="79"/>
      <c r="AB24" s="79">
        <v>3</v>
      </c>
      <c r="AC24" s="79"/>
      <c r="AD24" s="79">
        <v>3</v>
      </c>
      <c r="AE24" s="79"/>
      <c r="AF24" s="79">
        <v>3</v>
      </c>
      <c r="AG24" s="80"/>
      <c r="AH24" s="213"/>
      <c r="AI24" s="213"/>
      <c r="AJ24" s="214"/>
      <c r="AK24" s="215"/>
      <c r="AL24" s="215"/>
      <c r="AM24" s="215"/>
      <c r="AN24" s="207"/>
      <c r="AO24" s="207"/>
      <c r="AP24" s="191"/>
      <c r="AQ24" s="120"/>
      <c r="AR24" s="71"/>
      <c r="AS24" s="71"/>
    </row>
    <row r="25" spans="1:45" ht="15.6" customHeight="1" x14ac:dyDescent="0.25">
      <c r="A25" s="211"/>
      <c r="B25" s="212"/>
      <c r="C25" s="78"/>
      <c r="D25" s="79"/>
      <c r="E25" s="80"/>
      <c r="F25" s="79"/>
      <c r="G25" s="79"/>
      <c r="H25" s="79"/>
      <c r="I25" s="78"/>
      <c r="J25" s="79"/>
      <c r="K25" s="79"/>
      <c r="L25" s="80"/>
      <c r="M25" s="79"/>
      <c r="N25" s="79"/>
      <c r="O25" s="79"/>
      <c r="P25" s="79"/>
      <c r="Q25" s="79"/>
      <c r="R25" s="79"/>
      <c r="S25" s="80"/>
      <c r="T25" s="79"/>
      <c r="U25" s="79"/>
      <c r="V25" s="79"/>
      <c r="W25" s="79"/>
      <c r="X25" s="79"/>
      <c r="Y25" s="79"/>
      <c r="Z25" s="80"/>
      <c r="AA25" s="79"/>
      <c r="AB25" s="79"/>
      <c r="AC25" s="79"/>
      <c r="AD25" s="79"/>
      <c r="AE25" s="79"/>
      <c r="AF25" s="79"/>
      <c r="AG25" s="80"/>
      <c r="AH25" s="213"/>
      <c r="AI25" s="213"/>
      <c r="AJ25" s="214"/>
      <c r="AK25" s="215"/>
      <c r="AL25" s="215"/>
      <c r="AM25" s="215"/>
      <c r="AN25" s="207"/>
      <c r="AO25" s="207"/>
      <c r="AP25" s="191"/>
      <c r="AQ25" s="120"/>
      <c r="AR25" s="71"/>
      <c r="AS25" s="71"/>
    </row>
    <row r="26" spans="1:45" ht="15.6" customHeight="1" x14ac:dyDescent="0.25">
      <c r="A26" s="211">
        <v>8</v>
      </c>
      <c r="B26" s="212" t="s">
        <v>115</v>
      </c>
      <c r="C26" s="78" t="s">
        <v>52</v>
      </c>
      <c r="D26" s="78" t="s">
        <v>41</v>
      </c>
      <c r="E26" s="81" t="s">
        <v>41</v>
      </c>
      <c r="F26" s="78" t="s">
        <v>41</v>
      </c>
      <c r="G26" s="78" t="s">
        <v>41</v>
      </c>
      <c r="H26" s="78" t="s">
        <v>41</v>
      </c>
      <c r="I26" s="78" t="s">
        <v>41</v>
      </c>
      <c r="J26" s="78" t="s">
        <v>41</v>
      </c>
      <c r="K26" s="78" t="s">
        <v>41</v>
      </c>
      <c r="L26" s="81" t="s">
        <v>41</v>
      </c>
      <c r="M26" s="78" t="s">
        <v>41</v>
      </c>
      <c r="N26" s="79" t="s">
        <v>41</v>
      </c>
      <c r="O26" s="79" t="s">
        <v>41</v>
      </c>
      <c r="P26" s="79" t="s">
        <v>41</v>
      </c>
      <c r="Q26" s="79" t="s">
        <v>41</v>
      </c>
      <c r="R26" s="79" t="s">
        <v>41</v>
      </c>
      <c r="S26" s="80" t="s">
        <v>41</v>
      </c>
      <c r="T26" s="79" t="s">
        <v>52</v>
      </c>
      <c r="U26" s="79" t="s">
        <v>41</v>
      </c>
      <c r="V26" s="79" t="s">
        <v>41</v>
      </c>
      <c r="W26" s="79" t="s">
        <v>41</v>
      </c>
      <c r="X26" s="79" t="s">
        <v>52</v>
      </c>
      <c r="Y26" s="79" t="s">
        <v>41</v>
      </c>
      <c r="Z26" s="80" t="s">
        <v>41</v>
      </c>
      <c r="AA26" s="79" t="s">
        <v>41</v>
      </c>
      <c r="AB26" s="79" t="s">
        <v>41</v>
      </c>
      <c r="AC26" s="79" t="s">
        <v>41</v>
      </c>
      <c r="AD26" s="79" t="s">
        <v>41</v>
      </c>
      <c r="AE26" s="79" t="s">
        <v>41</v>
      </c>
      <c r="AF26" s="79" t="s">
        <v>41</v>
      </c>
      <c r="AG26" s="80" t="s">
        <v>41</v>
      </c>
      <c r="AH26" s="213">
        <f>COUNTIF(B26:AG26,"P")</f>
        <v>28</v>
      </c>
      <c r="AI26" s="213">
        <f t="shared" ref="AI26" si="26">COUNTIF(C26:AG26,"P/2")</f>
        <v>0</v>
      </c>
      <c r="AJ26" s="214">
        <f t="shared" si="0"/>
        <v>64</v>
      </c>
      <c r="AK26" s="215">
        <v>600</v>
      </c>
      <c r="AL26" s="215">
        <f>AK26*AI26/2</f>
        <v>0</v>
      </c>
      <c r="AM26" s="215">
        <f t="shared" ref="AM26" si="27">AH26*AK26+AL26</f>
        <v>16800</v>
      </c>
      <c r="AN26" s="207">
        <f t="shared" ref="AN26" si="28">AJ26/8*AK26</f>
        <v>4800</v>
      </c>
      <c r="AO26" s="207">
        <f t="shared" ref="AO26" si="29">AM26+AN26</f>
        <v>21600</v>
      </c>
      <c r="AP26" s="191"/>
      <c r="AQ26" s="120"/>
      <c r="AR26" s="71"/>
      <c r="AS26" s="71"/>
    </row>
    <row r="27" spans="1:45" ht="15.6" customHeight="1" x14ac:dyDescent="0.25">
      <c r="A27" s="211"/>
      <c r="B27" s="212"/>
      <c r="C27" s="78"/>
      <c r="D27" s="79">
        <v>1</v>
      </c>
      <c r="E27" s="80"/>
      <c r="F27" s="79">
        <v>3</v>
      </c>
      <c r="G27" s="79">
        <v>3</v>
      </c>
      <c r="H27" s="79">
        <v>1</v>
      </c>
      <c r="I27" s="78">
        <v>3</v>
      </c>
      <c r="J27" s="79">
        <v>3</v>
      </c>
      <c r="K27" s="79">
        <v>3</v>
      </c>
      <c r="L27" s="80"/>
      <c r="M27" s="79">
        <v>2</v>
      </c>
      <c r="N27" s="79">
        <v>3</v>
      </c>
      <c r="O27" s="79">
        <v>3</v>
      </c>
      <c r="P27" s="79">
        <v>2</v>
      </c>
      <c r="Q27" s="79">
        <v>4</v>
      </c>
      <c r="R27" s="79">
        <v>2</v>
      </c>
      <c r="S27" s="80">
        <v>4</v>
      </c>
      <c r="T27" s="79"/>
      <c r="U27" s="79">
        <v>4</v>
      </c>
      <c r="V27" s="79">
        <v>4</v>
      </c>
      <c r="W27" s="79">
        <v>3</v>
      </c>
      <c r="X27" s="79"/>
      <c r="Y27" s="79"/>
      <c r="Z27" s="80">
        <v>3</v>
      </c>
      <c r="AA27" s="79">
        <v>2</v>
      </c>
      <c r="AB27" s="79">
        <v>2</v>
      </c>
      <c r="AC27" s="79">
        <v>2</v>
      </c>
      <c r="AD27" s="79">
        <v>3</v>
      </c>
      <c r="AE27" s="79">
        <v>2</v>
      </c>
      <c r="AF27" s="79">
        <v>2</v>
      </c>
      <c r="AG27" s="80"/>
      <c r="AH27" s="213"/>
      <c r="AI27" s="213"/>
      <c r="AJ27" s="214"/>
      <c r="AK27" s="215"/>
      <c r="AL27" s="215"/>
      <c r="AM27" s="215"/>
      <c r="AN27" s="207"/>
      <c r="AO27" s="207"/>
      <c r="AP27" s="191"/>
      <c r="AQ27" s="120"/>
      <c r="AR27" s="71"/>
      <c r="AS27" s="71"/>
    </row>
    <row r="28" spans="1:45" ht="15.6" customHeight="1" x14ac:dyDescent="0.25">
      <c r="A28" s="211"/>
      <c r="B28" s="212"/>
      <c r="C28" s="78"/>
      <c r="D28" s="79"/>
      <c r="E28" s="80"/>
      <c r="F28" s="79"/>
      <c r="G28" s="79"/>
      <c r="H28" s="79"/>
      <c r="I28" s="78"/>
      <c r="J28" s="79"/>
      <c r="K28" s="79"/>
      <c r="L28" s="80"/>
      <c r="M28" s="79"/>
      <c r="N28" s="79"/>
      <c r="O28" s="79"/>
      <c r="P28" s="79"/>
      <c r="Q28" s="79"/>
      <c r="R28" s="79"/>
      <c r="S28" s="80"/>
      <c r="T28" s="79"/>
      <c r="U28" s="79"/>
      <c r="V28" s="79"/>
      <c r="W28" s="79"/>
      <c r="X28" s="79"/>
      <c r="Y28" s="79"/>
      <c r="Z28" s="80"/>
      <c r="AA28" s="79"/>
      <c r="AB28" s="79"/>
      <c r="AC28" s="79"/>
      <c r="AD28" s="79"/>
      <c r="AE28" s="79"/>
      <c r="AF28" s="79"/>
      <c r="AG28" s="80"/>
      <c r="AH28" s="213"/>
      <c r="AI28" s="213"/>
      <c r="AJ28" s="214"/>
      <c r="AK28" s="215"/>
      <c r="AL28" s="215"/>
      <c r="AM28" s="215"/>
      <c r="AN28" s="207"/>
      <c r="AO28" s="207"/>
      <c r="AP28" s="191"/>
      <c r="AQ28" s="120"/>
      <c r="AR28" s="71"/>
      <c r="AS28" s="71"/>
    </row>
    <row r="29" spans="1:45" ht="15.6" customHeight="1" x14ac:dyDescent="0.25">
      <c r="A29" s="211">
        <v>9</v>
      </c>
      <c r="B29" s="212" t="s">
        <v>118</v>
      </c>
      <c r="C29" s="78" t="s">
        <v>52</v>
      </c>
      <c r="D29" s="79" t="s">
        <v>41</v>
      </c>
      <c r="E29" s="80" t="s">
        <v>41</v>
      </c>
      <c r="F29" s="79" t="s">
        <v>41</v>
      </c>
      <c r="G29" s="79" t="s">
        <v>41</v>
      </c>
      <c r="H29" s="79" t="s">
        <v>41</v>
      </c>
      <c r="I29" s="79" t="s">
        <v>52</v>
      </c>
      <c r="J29" s="79" t="s">
        <v>41</v>
      </c>
      <c r="K29" s="79" t="s">
        <v>41</v>
      </c>
      <c r="L29" s="80" t="s">
        <v>41</v>
      </c>
      <c r="M29" s="79" t="s">
        <v>41</v>
      </c>
      <c r="N29" s="79" t="s">
        <v>41</v>
      </c>
      <c r="O29" s="79" t="s">
        <v>41</v>
      </c>
      <c r="P29" s="79" t="s">
        <v>41</v>
      </c>
      <c r="Q29" s="79" t="s">
        <v>41</v>
      </c>
      <c r="R29" s="79" t="s">
        <v>41</v>
      </c>
      <c r="S29" s="80" t="s">
        <v>41</v>
      </c>
      <c r="T29" s="79" t="s">
        <v>41</v>
      </c>
      <c r="U29" s="79" t="s">
        <v>41</v>
      </c>
      <c r="V29" s="79" t="s">
        <v>41</v>
      </c>
      <c r="W29" s="79" t="s">
        <v>41</v>
      </c>
      <c r="X29" s="79" t="s">
        <v>41</v>
      </c>
      <c r="Y29" s="79" t="s">
        <v>41</v>
      </c>
      <c r="Z29" s="80" t="s">
        <v>41</v>
      </c>
      <c r="AA29" s="79" t="s">
        <v>41</v>
      </c>
      <c r="AB29" s="79" t="s">
        <v>41</v>
      </c>
      <c r="AC29" s="79" t="s">
        <v>41</v>
      </c>
      <c r="AD29" s="79" t="s">
        <v>41</v>
      </c>
      <c r="AE29" s="79" t="s">
        <v>52</v>
      </c>
      <c r="AF29" s="79" t="s">
        <v>41</v>
      </c>
      <c r="AG29" s="80" t="s">
        <v>52</v>
      </c>
      <c r="AH29" s="213">
        <f>COUNTIF(B29:AG29,"P")</f>
        <v>27</v>
      </c>
      <c r="AI29" s="213">
        <f t="shared" ref="AI29" si="30">COUNTIF(C29:AG29,"P/2")</f>
        <v>0</v>
      </c>
      <c r="AJ29" s="214">
        <f t="shared" si="0"/>
        <v>77</v>
      </c>
      <c r="AK29" s="215">
        <v>600</v>
      </c>
      <c r="AL29" s="215">
        <f>AK29*AI29/2</f>
        <v>0</v>
      </c>
      <c r="AM29" s="215">
        <f t="shared" ref="AM29" si="31">AH29*AK29+AL29</f>
        <v>16200</v>
      </c>
      <c r="AN29" s="207">
        <f t="shared" ref="AN29" si="32">AJ29/8*AK29</f>
        <v>5775</v>
      </c>
      <c r="AO29" s="207">
        <f t="shared" ref="AO29" si="33">AM29+AN29</f>
        <v>21975</v>
      </c>
      <c r="AP29" s="191"/>
      <c r="AQ29" s="120"/>
      <c r="AR29" s="71"/>
      <c r="AS29" s="71"/>
    </row>
    <row r="30" spans="1:45" ht="15.6" customHeight="1" x14ac:dyDescent="0.25">
      <c r="A30" s="211"/>
      <c r="B30" s="212"/>
      <c r="C30" s="78"/>
      <c r="D30" s="79"/>
      <c r="E30" s="80">
        <v>4</v>
      </c>
      <c r="F30" s="79">
        <v>1</v>
      </c>
      <c r="G30" s="79">
        <v>1</v>
      </c>
      <c r="H30" s="79">
        <v>1</v>
      </c>
      <c r="I30" s="78"/>
      <c r="J30" s="79">
        <v>2</v>
      </c>
      <c r="K30" s="79">
        <v>2</v>
      </c>
      <c r="L30" s="80"/>
      <c r="M30" s="79">
        <v>1</v>
      </c>
      <c r="N30" s="79">
        <v>5</v>
      </c>
      <c r="O30" s="79">
        <v>4</v>
      </c>
      <c r="P30" s="79">
        <v>2</v>
      </c>
      <c r="Q30" s="79">
        <v>6</v>
      </c>
      <c r="R30" s="79">
        <v>2</v>
      </c>
      <c r="S30" s="80">
        <v>4</v>
      </c>
      <c r="T30" s="79"/>
      <c r="U30" s="79">
        <v>6</v>
      </c>
      <c r="V30" s="79">
        <v>6</v>
      </c>
      <c r="W30" s="79">
        <v>4</v>
      </c>
      <c r="X30" s="79">
        <v>4</v>
      </c>
      <c r="Y30" s="79">
        <v>3</v>
      </c>
      <c r="Z30" s="80">
        <v>3</v>
      </c>
      <c r="AA30" s="79">
        <v>3</v>
      </c>
      <c r="AB30" s="79">
        <v>3</v>
      </c>
      <c r="AC30" s="79">
        <v>4</v>
      </c>
      <c r="AD30" s="79">
        <v>4</v>
      </c>
      <c r="AE30" s="79"/>
      <c r="AF30" s="79">
        <v>2</v>
      </c>
      <c r="AG30" s="80"/>
      <c r="AH30" s="213"/>
      <c r="AI30" s="213"/>
      <c r="AJ30" s="214"/>
      <c r="AK30" s="215"/>
      <c r="AL30" s="215"/>
      <c r="AM30" s="215"/>
      <c r="AN30" s="207"/>
      <c r="AO30" s="207"/>
      <c r="AP30" s="191"/>
      <c r="AQ30" s="120"/>
      <c r="AR30" s="71"/>
      <c r="AS30" s="71"/>
    </row>
    <row r="31" spans="1:45" ht="15.6" customHeight="1" x14ac:dyDescent="0.25">
      <c r="A31" s="211"/>
      <c r="B31" s="212"/>
      <c r="C31" s="78"/>
      <c r="D31" s="79"/>
      <c r="E31" s="80"/>
      <c r="F31" s="79"/>
      <c r="G31" s="79"/>
      <c r="H31" s="79"/>
      <c r="I31" s="78"/>
      <c r="J31" s="79"/>
      <c r="K31" s="79"/>
      <c r="L31" s="80"/>
      <c r="M31" s="79"/>
      <c r="N31" s="79"/>
      <c r="O31" s="79"/>
      <c r="P31" s="79"/>
      <c r="Q31" s="79"/>
      <c r="R31" s="79"/>
      <c r="S31" s="80"/>
      <c r="T31" s="79"/>
      <c r="U31" s="79"/>
      <c r="V31" s="79"/>
      <c r="W31" s="79"/>
      <c r="X31" s="79"/>
      <c r="Y31" s="79"/>
      <c r="Z31" s="80"/>
      <c r="AA31" s="79"/>
      <c r="AB31" s="79"/>
      <c r="AC31" s="79"/>
      <c r="AD31" s="79"/>
      <c r="AE31" s="79"/>
      <c r="AF31" s="79"/>
      <c r="AG31" s="80"/>
      <c r="AH31" s="213"/>
      <c r="AI31" s="213"/>
      <c r="AJ31" s="214"/>
      <c r="AK31" s="215"/>
      <c r="AL31" s="215"/>
      <c r="AM31" s="215"/>
      <c r="AN31" s="207"/>
      <c r="AO31" s="207"/>
      <c r="AP31" s="191"/>
      <c r="AQ31" s="120"/>
      <c r="AR31" s="71"/>
      <c r="AS31" s="71"/>
    </row>
    <row r="32" spans="1:45" ht="15.6" customHeight="1" x14ac:dyDescent="0.25">
      <c r="A32" s="211">
        <v>10</v>
      </c>
      <c r="B32" s="212" t="s">
        <v>119</v>
      </c>
      <c r="C32" s="82" t="s">
        <v>52</v>
      </c>
      <c r="D32" s="79" t="s">
        <v>41</v>
      </c>
      <c r="E32" s="80" t="s">
        <v>41</v>
      </c>
      <c r="F32" s="79" t="s">
        <v>41</v>
      </c>
      <c r="G32" s="79" t="s">
        <v>41</v>
      </c>
      <c r="H32" s="79" t="s">
        <v>41</v>
      </c>
      <c r="I32" s="78" t="s">
        <v>41</v>
      </c>
      <c r="J32" s="79" t="s">
        <v>41</v>
      </c>
      <c r="K32" s="79" t="s">
        <v>41</v>
      </c>
      <c r="L32" s="80" t="s">
        <v>41</v>
      </c>
      <c r="M32" s="79" t="s">
        <v>41</v>
      </c>
      <c r="N32" s="79" t="s">
        <v>41</v>
      </c>
      <c r="O32" s="79" t="s">
        <v>41</v>
      </c>
      <c r="P32" s="79" t="s">
        <v>41</v>
      </c>
      <c r="Q32" s="79" t="s">
        <v>41</v>
      </c>
      <c r="R32" s="79" t="s">
        <v>41</v>
      </c>
      <c r="S32" s="80" t="s">
        <v>41</v>
      </c>
      <c r="T32" s="79" t="s">
        <v>41</v>
      </c>
      <c r="U32" s="79" t="s">
        <v>41</v>
      </c>
      <c r="V32" s="79" t="s">
        <v>41</v>
      </c>
      <c r="W32" s="79" t="s">
        <v>41</v>
      </c>
      <c r="X32" s="79" t="s">
        <v>52</v>
      </c>
      <c r="Y32" s="79" t="s">
        <v>41</v>
      </c>
      <c r="Z32" s="80" t="s">
        <v>41</v>
      </c>
      <c r="AA32" s="79" t="s">
        <v>41</v>
      </c>
      <c r="AB32" s="79" t="s">
        <v>41</v>
      </c>
      <c r="AC32" s="79" t="s">
        <v>41</v>
      </c>
      <c r="AD32" s="79" t="s">
        <v>41</v>
      </c>
      <c r="AE32" s="79" t="s">
        <v>41</v>
      </c>
      <c r="AF32" s="79" t="s">
        <v>41</v>
      </c>
      <c r="AG32" s="80" t="s">
        <v>41</v>
      </c>
      <c r="AH32" s="213">
        <f>COUNTIF(B32:AG32,"P")</f>
        <v>29</v>
      </c>
      <c r="AI32" s="213">
        <f t="shared" ref="AI32" si="34">COUNTIF(C32:AG32,"P/2")</f>
        <v>0</v>
      </c>
      <c r="AJ32" s="214">
        <f t="shared" si="0"/>
        <v>65</v>
      </c>
      <c r="AK32" s="215">
        <v>600</v>
      </c>
      <c r="AL32" s="215">
        <f>AK32*AI32/2</f>
        <v>0</v>
      </c>
      <c r="AM32" s="215">
        <f t="shared" ref="AM32" si="35">AH32*AK32+AL32</f>
        <v>17400</v>
      </c>
      <c r="AN32" s="207">
        <f t="shared" ref="AN32" si="36">AJ32/8*AK32</f>
        <v>4875</v>
      </c>
      <c r="AO32" s="207">
        <f t="shared" ref="AO32" si="37">AM32+AN32</f>
        <v>22275</v>
      </c>
      <c r="AP32" s="191"/>
      <c r="AQ32" s="120"/>
      <c r="AR32" s="71"/>
      <c r="AS32" s="71"/>
    </row>
    <row r="33" spans="1:47" ht="15.6" customHeight="1" x14ac:dyDescent="0.25">
      <c r="A33" s="211"/>
      <c r="B33" s="212"/>
      <c r="C33" s="78"/>
      <c r="D33" s="79">
        <v>1</v>
      </c>
      <c r="E33" s="80"/>
      <c r="F33" s="79">
        <v>3</v>
      </c>
      <c r="G33" s="79">
        <v>3</v>
      </c>
      <c r="H33" s="79">
        <v>3</v>
      </c>
      <c r="I33" s="78">
        <v>3</v>
      </c>
      <c r="J33" s="79">
        <v>2</v>
      </c>
      <c r="K33" s="79">
        <v>3</v>
      </c>
      <c r="L33" s="80"/>
      <c r="M33" s="79">
        <v>2</v>
      </c>
      <c r="N33" s="79">
        <v>3</v>
      </c>
      <c r="O33" s="79">
        <v>3</v>
      </c>
      <c r="P33" s="79">
        <v>2</v>
      </c>
      <c r="Q33" s="79">
        <v>4</v>
      </c>
      <c r="R33" s="79">
        <v>3</v>
      </c>
      <c r="S33" s="80"/>
      <c r="T33" s="79">
        <v>3</v>
      </c>
      <c r="U33" s="79">
        <v>2</v>
      </c>
      <c r="V33" s="79">
        <v>9</v>
      </c>
      <c r="W33" s="79"/>
      <c r="X33" s="79"/>
      <c r="Y33" s="79">
        <v>2</v>
      </c>
      <c r="Z33" s="80"/>
      <c r="AA33" s="79">
        <v>2</v>
      </c>
      <c r="AB33" s="79">
        <v>3</v>
      </c>
      <c r="AC33" s="79"/>
      <c r="AD33" s="79">
        <v>3</v>
      </c>
      <c r="AE33" s="79">
        <v>3</v>
      </c>
      <c r="AF33" s="79">
        <v>3</v>
      </c>
      <c r="AG33" s="80"/>
      <c r="AH33" s="213"/>
      <c r="AI33" s="213"/>
      <c r="AJ33" s="214"/>
      <c r="AK33" s="215"/>
      <c r="AL33" s="215"/>
      <c r="AM33" s="215"/>
      <c r="AN33" s="207"/>
      <c r="AO33" s="207"/>
      <c r="AP33" s="191"/>
      <c r="AQ33" s="120"/>
      <c r="AR33" s="71"/>
      <c r="AS33" s="71"/>
    </row>
    <row r="34" spans="1:47" ht="15.6" customHeight="1" x14ac:dyDescent="0.25">
      <c r="A34" s="211"/>
      <c r="B34" s="212"/>
      <c r="C34" s="78"/>
      <c r="D34" s="79"/>
      <c r="E34" s="80"/>
      <c r="F34" s="79"/>
      <c r="G34" s="72"/>
      <c r="H34" s="79"/>
      <c r="I34" s="78"/>
      <c r="J34" s="79"/>
      <c r="K34" s="79"/>
      <c r="L34" s="80"/>
      <c r="M34" s="79"/>
      <c r="N34" s="79"/>
      <c r="O34" s="79"/>
      <c r="P34" s="79"/>
      <c r="Q34" s="79"/>
      <c r="R34" s="79"/>
      <c r="S34" s="80"/>
      <c r="T34" s="79"/>
      <c r="U34" s="79"/>
      <c r="V34" s="79"/>
      <c r="W34" s="79"/>
      <c r="X34" s="79"/>
      <c r="Y34" s="79"/>
      <c r="Z34" s="80"/>
      <c r="AA34" s="79"/>
      <c r="AB34" s="79"/>
      <c r="AC34" s="79"/>
      <c r="AD34" s="79"/>
      <c r="AE34" s="79"/>
      <c r="AF34" s="79"/>
      <c r="AG34" s="80"/>
      <c r="AH34" s="213"/>
      <c r="AI34" s="213"/>
      <c r="AJ34" s="214"/>
      <c r="AK34" s="215"/>
      <c r="AL34" s="215"/>
      <c r="AM34" s="215"/>
      <c r="AN34" s="207"/>
      <c r="AO34" s="207"/>
      <c r="AP34" s="191"/>
      <c r="AQ34" s="120"/>
      <c r="AR34" s="71"/>
      <c r="AS34" s="71"/>
    </row>
    <row r="35" spans="1:47" ht="15.6" customHeight="1" x14ac:dyDescent="0.25">
      <c r="A35" s="211">
        <v>11</v>
      </c>
      <c r="B35" s="212" t="s">
        <v>120</v>
      </c>
      <c r="C35" s="78" t="s">
        <v>52</v>
      </c>
      <c r="D35" s="78" t="s">
        <v>41</v>
      </c>
      <c r="E35" s="81" t="s">
        <v>41</v>
      </c>
      <c r="F35" s="78" t="s">
        <v>41</v>
      </c>
      <c r="G35" s="78" t="s">
        <v>41</v>
      </c>
      <c r="H35" s="78" t="s">
        <v>41</v>
      </c>
      <c r="I35" s="78" t="s">
        <v>41</v>
      </c>
      <c r="J35" s="78" t="s">
        <v>41</v>
      </c>
      <c r="K35" s="78" t="s">
        <v>41</v>
      </c>
      <c r="L35" s="81" t="s">
        <v>41</v>
      </c>
      <c r="M35" s="78" t="s">
        <v>41</v>
      </c>
      <c r="N35" s="79" t="s">
        <v>41</v>
      </c>
      <c r="O35" s="79" t="s">
        <v>41</v>
      </c>
      <c r="P35" s="79" t="s">
        <v>41</v>
      </c>
      <c r="Q35" s="79" t="s">
        <v>41</v>
      </c>
      <c r="R35" s="79" t="s">
        <v>41</v>
      </c>
      <c r="S35" s="80" t="s">
        <v>41</v>
      </c>
      <c r="T35" s="79" t="s">
        <v>52</v>
      </c>
      <c r="U35" s="79" t="s">
        <v>41</v>
      </c>
      <c r="V35" s="79" t="s">
        <v>41</v>
      </c>
      <c r="W35" s="79" t="s">
        <v>41</v>
      </c>
      <c r="X35" s="79" t="s">
        <v>52</v>
      </c>
      <c r="Y35" s="79" t="s">
        <v>41</v>
      </c>
      <c r="Z35" s="80" t="s">
        <v>41</v>
      </c>
      <c r="AA35" s="79" t="s">
        <v>41</v>
      </c>
      <c r="AB35" s="79" t="s">
        <v>41</v>
      </c>
      <c r="AC35" s="79" t="s">
        <v>41</v>
      </c>
      <c r="AD35" s="79" t="s">
        <v>41</v>
      </c>
      <c r="AE35" s="79" t="s">
        <v>41</v>
      </c>
      <c r="AF35" s="79" t="s">
        <v>41</v>
      </c>
      <c r="AG35" s="80" t="s">
        <v>41</v>
      </c>
      <c r="AH35" s="213">
        <f>COUNTIF(B35:AG35,"P")</f>
        <v>28</v>
      </c>
      <c r="AI35" s="213">
        <f t="shared" ref="AI35" si="38">COUNTIF(C35:AG35,"P/2")</f>
        <v>0</v>
      </c>
      <c r="AJ35" s="214">
        <f t="shared" si="0"/>
        <v>82</v>
      </c>
      <c r="AK35" s="215">
        <v>700</v>
      </c>
      <c r="AL35" s="215">
        <f>AK35*AI35/2</f>
        <v>0</v>
      </c>
      <c r="AM35" s="215">
        <f t="shared" ref="AM35" si="39">AH35*AK35+AL35</f>
        <v>19600</v>
      </c>
      <c r="AN35" s="207">
        <f t="shared" ref="AN35" si="40">AJ35/8*AK35</f>
        <v>7175</v>
      </c>
      <c r="AO35" s="207">
        <f t="shared" ref="AO35" si="41">AM35+AN35</f>
        <v>26775</v>
      </c>
      <c r="AP35" s="191"/>
      <c r="AQ35" s="120"/>
      <c r="AR35" s="71"/>
      <c r="AS35" s="71"/>
    </row>
    <row r="36" spans="1:47" ht="15.6" customHeight="1" x14ac:dyDescent="0.25">
      <c r="A36" s="211"/>
      <c r="B36" s="212"/>
      <c r="C36" s="78"/>
      <c r="D36" s="79"/>
      <c r="E36" s="80">
        <v>4</v>
      </c>
      <c r="F36" s="79">
        <v>3</v>
      </c>
      <c r="G36" s="79">
        <v>3</v>
      </c>
      <c r="H36" s="79">
        <v>4</v>
      </c>
      <c r="I36" s="78">
        <v>3</v>
      </c>
      <c r="J36" s="79">
        <v>4</v>
      </c>
      <c r="K36" s="79">
        <v>3</v>
      </c>
      <c r="L36" s="80">
        <v>5</v>
      </c>
      <c r="M36" s="79">
        <v>5</v>
      </c>
      <c r="N36" s="79">
        <v>4</v>
      </c>
      <c r="O36" s="79">
        <v>4</v>
      </c>
      <c r="P36" s="79">
        <v>3</v>
      </c>
      <c r="Q36" s="79">
        <v>3</v>
      </c>
      <c r="R36" s="79">
        <v>6</v>
      </c>
      <c r="S36" s="80">
        <v>4</v>
      </c>
      <c r="T36" s="79"/>
      <c r="U36" s="79">
        <v>4</v>
      </c>
      <c r="V36" s="79">
        <v>4</v>
      </c>
      <c r="W36" s="79">
        <v>3</v>
      </c>
      <c r="X36" s="79"/>
      <c r="Y36" s="79"/>
      <c r="Z36" s="80">
        <v>3</v>
      </c>
      <c r="AA36" s="79">
        <v>2</v>
      </c>
      <c r="AB36" s="79">
        <v>2</v>
      </c>
      <c r="AC36" s="79">
        <v>2</v>
      </c>
      <c r="AD36" s="79"/>
      <c r="AE36" s="79">
        <v>2</v>
      </c>
      <c r="AF36" s="79">
        <v>2</v>
      </c>
      <c r="AG36" s="80"/>
      <c r="AH36" s="213"/>
      <c r="AI36" s="213"/>
      <c r="AJ36" s="214"/>
      <c r="AK36" s="215"/>
      <c r="AL36" s="215"/>
      <c r="AM36" s="215"/>
      <c r="AN36" s="207"/>
      <c r="AO36" s="207"/>
      <c r="AP36" s="191"/>
      <c r="AQ36" s="120"/>
      <c r="AR36" s="71"/>
      <c r="AS36" s="71"/>
    </row>
    <row r="37" spans="1:47" ht="15.6" customHeight="1" x14ac:dyDescent="0.25">
      <c r="A37" s="211"/>
      <c r="B37" s="212"/>
      <c r="C37" s="78"/>
      <c r="D37" s="79"/>
      <c r="E37" s="80"/>
      <c r="F37" s="79"/>
      <c r="G37" s="79"/>
      <c r="H37" s="79"/>
      <c r="I37" s="78"/>
      <c r="J37" s="79"/>
      <c r="K37" s="79"/>
      <c r="L37" s="80"/>
      <c r="M37" s="79"/>
      <c r="N37" s="79"/>
      <c r="O37" s="79"/>
      <c r="P37" s="79"/>
      <c r="Q37" s="79"/>
      <c r="R37" s="79"/>
      <c r="S37" s="80"/>
      <c r="T37" s="79"/>
      <c r="U37" s="79"/>
      <c r="V37" s="79"/>
      <c r="W37" s="79"/>
      <c r="X37" s="79"/>
      <c r="Y37" s="79"/>
      <c r="Z37" s="80"/>
      <c r="AA37" s="79"/>
      <c r="AB37" s="79"/>
      <c r="AC37" s="79"/>
      <c r="AD37" s="79"/>
      <c r="AE37" s="79"/>
      <c r="AF37" s="79"/>
      <c r="AG37" s="80"/>
      <c r="AH37" s="213"/>
      <c r="AI37" s="213"/>
      <c r="AJ37" s="214"/>
      <c r="AK37" s="215"/>
      <c r="AL37" s="215"/>
      <c r="AM37" s="215"/>
      <c r="AN37" s="207"/>
      <c r="AO37" s="207"/>
      <c r="AP37" s="191"/>
      <c r="AQ37" s="120"/>
      <c r="AR37" s="71"/>
      <c r="AS37" s="71"/>
    </row>
    <row r="38" spans="1:47" ht="15.6" customHeight="1" x14ac:dyDescent="0.25">
      <c r="A38" s="211">
        <v>12</v>
      </c>
      <c r="B38" s="212" t="s">
        <v>112</v>
      </c>
      <c r="C38" s="82" t="s">
        <v>52</v>
      </c>
      <c r="D38" s="79" t="s">
        <v>41</v>
      </c>
      <c r="E38" s="80" t="s">
        <v>41</v>
      </c>
      <c r="F38" s="79" t="s">
        <v>52</v>
      </c>
      <c r="G38" s="79" t="s">
        <v>41</v>
      </c>
      <c r="H38" s="79" t="s">
        <v>41</v>
      </c>
      <c r="I38" s="78" t="s">
        <v>41</v>
      </c>
      <c r="J38" s="79" t="s">
        <v>41</v>
      </c>
      <c r="K38" s="79" t="s">
        <v>41</v>
      </c>
      <c r="L38" s="80" t="s">
        <v>41</v>
      </c>
      <c r="M38" s="79" t="s">
        <v>41</v>
      </c>
      <c r="N38" s="79" t="s">
        <v>41</v>
      </c>
      <c r="O38" s="79" t="s">
        <v>41</v>
      </c>
      <c r="P38" s="79" t="s">
        <v>41</v>
      </c>
      <c r="Q38" s="79" t="s">
        <v>41</v>
      </c>
      <c r="R38" s="79" t="s">
        <v>41</v>
      </c>
      <c r="S38" s="80" t="s">
        <v>41</v>
      </c>
      <c r="T38" s="79" t="s">
        <v>41</v>
      </c>
      <c r="U38" s="79" t="s">
        <v>41</v>
      </c>
      <c r="V38" s="79" t="s">
        <v>41</v>
      </c>
      <c r="W38" s="79" t="s">
        <v>41</v>
      </c>
      <c r="X38" s="79" t="s">
        <v>41</v>
      </c>
      <c r="Y38" s="79" t="s">
        <v>41</v>
      </c>
      <c r="Z38" s="80" t="s">
        <v>41</v>
      </c>
      <c r="AA38" s="79" t="s">
        <v>41</v>
      </c>
      <c r="AB38" s="79" t="s">
        <v>41</v>
      </c>
      <c r="AC38" s="79" t="s">
        <v>41</v>
      </c>
      <c r="AD38" s="79" t="s">
        <v>41</v>
      </c>
      <c r="AE38" s="79" t="s">
        <v>41</v>
      </c>
      <c r="AF38" s="79" t="s">
        <v>41</v>
      </c>
      <c r="AG38" s="80" t="s">
        <v>41</v>
      </c>
      <c r="AH38" s="213">
        <f>COUNTIF(B38:AG38,"P")</f>
        <v>29</v>
      </c>
      <c r="AI38" s="213">
        <f t="shared" ref="AI38" si="42">COUNTIF(C38:AG38,"P/2")</f>
        <v>0</v>
      </c>
      <c r="AJ38" s="214">
        <f t="shared" si="0"/>
        <v>99</v>
      </c>
      <c r="AK38" s="215">
        <v>850</v>
      </c>
      <c r="AL38" s="215">
        <f>AK38*AI38/2</f>
        <v>0</v>
      </c>
      <c r="AM38" s="215">
        <f t="shared" ref="AM38" si="43">AH38*AK38+AL38</f>
        <v>24650</v>
      </c>
      <c r="AN38" s="207">
        <f t="shared" ref="AN38" si="44">AJ38/8*AK38</f>
        <v>10518.75</v>
      </c>
      <c r="AO38" s="207">
        <f t="shared" ref="AO38" si="45">AM38+AN38</f>
        <v>35168.75</v>
      </c>
      <c r="AP38" s="191"/>
      <c r="AQ38" s="120"/>
      <c r="AR38" s="71"/>
      <c r="AS38" s="71"/>
    </row>
    <row r="39" spans="1:47" ht="15.6" customHeight="1" x14ac:dyDescent="0.25">
      <c r="A39" s="211"/>
      <c r="B39" s="212"/>
      <c r="C39" s="78"/>
      <c r="D39" s="79"/>
      <c r="E39" s="80"/>
      <c r="F39" s="79"/>
      <c r="G39" s="79">
        <v>3</v>
      </c>
      <c r="H39" s="79">
        <v>4</v>
      </c>
      <c r="I39" s="78">
        <v>3</v>
      </c>
      <c r="J39" s="79">
        <v>4</v>
      </c>
      <c r="K39" s="79">
        <v>3</v>
      </c>
      <c r="L39" s="80">
        <v>5</v>
      </c>
      <c r="M39" s="79">
        <v>5</v>
      </c>
      <c r="N39" s="79">
        <v>4</v>
      </c>
      <c r="O39" s="79">
        <v>4</v>
      </c>
      <c r="P39" s="79">
        <v>3</v>
      </c>
      <c r="Q39" s="79">
        <v>3</v>
      </c>
      <c r="R39" s="79">
        <v>6</v>
      </c>
      <c r="S39" s="80">
        <v>4</v>
      </c>
      <c r="T39" s="79"/>
      <c r="U39" s="79">
        <v>6</v>
      </c>
      <c r="V39" s="79">
        <v>6</v>
      </c>
      <c r="W39" s="79">
        <v>4</v>
      </c>
      <c r="X39" s="79">
        <v>4</v>
      </c>
      <c r="Y39" s="79">
        <v>3</v>
      </c>
      <c r="Z39" s="80">
        <v>3</v>
      </c>
      <c r="AA39" s="79">
        <v>3</v>
      </c>
      <c r="AB39" s="79">
        <v>3</v>
      </c>
      <c r="AC39" s="79">
        <v>4</v>
      </c>
      <c r="AD39" s="79">
        <v>4</v>
      </c>
      <c r="AE39" s="79">
        <v>3</v>
      </c>
      <c r="AF39" s="79">
        <v>3</v>
      </c>
      <c r="AG39" s="80">
        <v>2</v>
      </c>
      <c r="AH39" s="213"/>
      <c r="AI39" s="213"/>
      <c r="AJ39" s="214"/>
      <c r="AK39" s="215"/>
      <c r="AL39" s="215"/>
      <c r="AM39" s="215"/>
      <c r="AN39" s="207"/>
      <c r="AO39" s="207"/>
      <c r="AP39" s="191"/>
      <c r="AQ39" s="120"/>
      <c r="AR39" s="71"/>
      <c r="AS39" s="71"/>
    </row>
    <row r="40" spans="1:47" ht="15.6" customHeight="1" x14ac:dyDescent="0.25">
      <c r="A40" s="211"/>
      <c r="B40" s="212"/>
      <c r="C40" s="78"/>
      <c r="D40" s="79"/>
      <c r="E40" s="80"/>
      <c r="F40" s="79"/>
      <c r="G40" s="72"/>
      <c r="H40" s="79"/>
      <c r="I40" s="78"/>
      <c r="J40" s="79"/>
      <c r="K40" s="79"/>
      <c r="L40" s="80"/>
      <c r="M40" s="79"/>
      <c r="N40" s="79"/>
      <c r="O40" s="79"/>
      <c r="P40" s="79"/>
      <c r="Q40" s="79"/>
      <c r="R40" s="79"/>
      <c r="S40" s="80"/>
      <c r="T40" s="79"/>
      <c r="U40" s="79"/>
      <c r="V40" s="79"/>
      <c r="W40" s="79"/>
      <c r="X40" s="79"/>
      <c r="Y40" s="79"/>
      <c r="Z40" s="80"/>
      <c r="AA40" s="79"/>
      <c r="AB40" s="79"/>
      <c r="AC40" s="79"/>
      <c r="AD40" s="79"/>
      <c r="AE40" s="79"/>
      <c r="AF40" s="79"/>
      <c r="AG40" s="80"/>
      <c r="AH40" s="213"/>
      <c r="AI40" s="213"/>
      <c r="AJ40" s="214"/>
      <c r="AK40" s="215"/>
      <c r="AL40" s="215"/>
      <c r="AM40" s="215"/>
      <c r="AN40" s="207"/>
      <c r="AO40" s="207"/>
      <c r="AP40" s="191"/>
      <c r="AQ40" s="120"/>
      <c r="AR40" s="71"/>
      <c r="AS40" s="71"/>
    </row>
    <row r="41" spans="1:47" ht="15.6" customHeight="1" x14ac:dyDescent="0.25">
      <c r="A41" s="211">
        <v>13</v>
      </c>
      <c r="B41" s="212" t="s">
        <v>145</v>
      </c>
      <c r="C41" s="79" t="s">
        <v>52</v>
      </c>
      <c r="D41" s="79" t="s">
        <v>52</v>
      </c>
      <c r="E41" s="80"/>
      <c r="F41" s="79" t="s">
        <v>52</v>
      </c>
      <c r="G41" s="79" t="s">
        <v>52</v>
      </c>
      <c r="H41" s="79" t="s">
        <v>52</v>
      </c>
      <c r="I41" s="79" t="s">
        <v>52</v>
      </c>
      <c r="J41" s="79" t="s">
        <v>52</v>
      </c>
      <c r="K41" s="79" t="s">
        <v>52</v>
      </c>
      <c r="L41" s="80"/>
      <c r="M41" s="79" t="s">
        <v>52</v>
      </c>
      <c r="N41" s="79" t="s">
        <v>52</v>
      </c>
      <c r="O41" s="79" t="s">
        <v>52</v>
      </c>
      <c r="P41" s="79" t="s">
        <v>52</v>
      </c>
      <c r="Q41" s="79" t="s">
        <v>52</v>
      </c>
      <c r="R41" s="79" t="s">
        <v>52</v>
      </c>
      <c r="S41" s="80"/>
      <c r="T41" s="79" t="s">
        <v>52</v>
      </c>
      <c r="U41" s="79" t="s">
        <v>52</v>
      </c>
      <c r="V41" s="79" t="s">
        <v>52</v>
      </c>
      <c r="W41" s="79" t="s">
        <v>52</v>
      </c>
      <c r="X41" s="79" t="s">
        <v>52</v>
      </c>
      <c r="Y41" s="79" t="s">
        <v>52</v>
      </c>
      <c r="Z41" s="80"/>
      <c r="AA41" s="79" t="s">
        <v>52</v>
      </c>
      <c r="AB41" s="79" t="s">
        <v>41</v>
      </c>
      <c r="AC41" s="79" t="s">
        <v>41</v>
      </c>
      <c r="AD41" s="79" t="s">
        <v>41</v>
      </c>
      <c r="AE41" s="79" t="s">
        <v>41</v>
      </c>
      <c r="AF41" s="79" t="s">
        <v>41</v>
      </c>
      <c r="AG41" s="80" t="s">
        <v>41</v>
      </c>
      <c r="AH41" s="213">
        <f>COUNTIF(B41:AG41,"P")</f>
        <v>6</v>
      </c>
      <c r="AI41" s="213">
        <f t="shared" ref="AI41" si="46">COUNTIF(C41:AG41,"P/2")</f>
        <v>0</v>
      </c>
      <c r="AJ41" s="214">
        <f t="shared" si="0"/>
        <v>11</v>
      </c>
      <c r="AK41" s="215">
        <v>850</v>
      </c>
      <c r="AL41" s="215">
        <f>AK41*AI41/2</f>
        <v>0</v>
      </c>
      <c r="AM41" s="215">
        <f t="shared" ref="AM41" si="47">AH41*AK41+AL41</f>
        <v>5100</v>
      </c>
      <c r="AN41" s="207">
        <f t="shared" ref="AN41" si="48">AJ41/8*AK41</f>
        <v>1168.75</v>
      </c>
      <c r="AO41" s="207">
        <f t="shared" ref="AO41" si="49">AM41+AN41</f>
        <v>6268.75</v>
      </c>
      <c r="AP41" s="191"/>
      <c r="AQ41" s="120"/>
      <c r="AR41" s="71"/>
      <c r="AS41" s="71"/>
    </row>
    <row r="42" spans="1:47" ht="15.6" customHeight="1" x14ac:dyDescent="0.25">
      <c r="A42" s="211"/>
      <c r="B42" s="212"/>
      <c r="C42" s="78"/>
      <c r="D42" s="79"/>
      <c r="E42" s="80"/>
      <c r="F42" s="79"/>
      <c r="G42" s="79"/>
      <c r="H42" s="79"/>
      <c r="I42" s="78"/>
      <c r="J42" s="79"/>
      <c r="K42" s="79"/>
      <c r="L42" s="80"/>
      <c r="M42" s="79"/>
      <c r="N42" s="79"/>
      <c r="O42" s="79"/>
      <c r="P42" s="79"/>
      <c r="Q42" s="79"/>
      <c r="R42" s="79"/>
      <c r="S42" s="80"/>
      <c r="T42" s="79"/>
      <c r="U42" s="79"/>
      <c r="V42" s="79"/>
      <c r="W42" s="79"/>
      <c r="X42" s="79"/>
      <c r="Y42" s="79"/>
      <c r="Z42" s="80"/>
      <c r="AA42" s="79"/>
      <c r="AB42" s="79">
        <v>3</v>
      </c>
      <c r="AC42" s="79"/>
      <c r="AD42" s="79">
        <v>2</v>
      </c>
      <c r="AE42" s="79">
        <v>3</v>
      </c>
      <c r="AF42" s="79">
        <v>3</v>
      </c>
      <c r="AG42" s="80"/>
      <c r="AH42" s="213"/>
      <c r="AI42" s="213"/>
      <c r="AJ42" s="214"/>
      <c r="AK42" s="215"/>
      <c r="AL42" s="215"/>
      <c r="AM42" s="215"/>
      <c r="AN42" s="207"/>
      <c r="AO42" s="207"/>
      <c r="AP42" s="191"/>
      <c r="AQ42" s="120"/>
      <c r="AR42" s="71"/>
      <c r="AS42" s="71"/>
    </row>
    <row r="43" spans="1:47" ht="15.6" customHeight="1" x14ac:dyDescent="0.25">
      <c r="A43" s="211"/>
      <c r="B43" s="212"/>
      <c r="C43" s="78"/>
      <c r="D43" s="79"/>
      <c r="E43" s="80"/>
      <c r="F43" s="79"/>
      <c r="G43" s="79"/>
      <c r="H43" s="79"/>
      <c r="I43" s="78"/>
      <c r="J43" s="79"/>
      <c r="K43" s="79"/>
      <c r="L43" s="80"/>
      <c r="M43" s="79"/>
      <c r="N43" s="79"/>
      <c r="O43" s="79"/>
      <c r="P43" s="79"/>
      <c r="Q43" s="79"/>
      <c r="R43" s="79"/>
      <c r="S43" s="80"/>
      <c r="T43" s="79"/>
      <c r="U43" s="79"/>
      <c r="V43" s="79"/>
      <c r="W43" s="79"/>
      <c r="X43" s="79"/>
      <c r="Y43" s="79"/>
      <c r="Z43" s="80"/>
      <c r="AA43" s="79"/>
      <c r="AB43" s="79"/>
      <c r="AC43" s="79"/>
      <c r="AD43" s="79"/>
      <c r="AE43" s="79"/>
      <c r="AF43" s="79"/>
      <c r="AG43" s="80"/>
      <c r="AH43" s="213"/>
      <c r="AI43" s="213"/>
      <c r="AJ43" s="214"/>
      <c r="AK43" s="215"/>
      <c r="AL43" s="215"/>
      <c r="AM43" s="215"/>
      <c r="AN43" s="207"/>
      <c r="AO43" s="207"/>
      <c r="AP43" s="191"/>
      <c r="AQ43" s="120"/>
      <c r="AR43" s="71"/>
      <c r="AS43" s="71"/>
    </row>
    <row r="44" spans="1:47" ht="15.6" customHeight="1" thickBot="1" x14ac:dyDescent="0.3">
      <c r="A44" s="220" t="s">
        <v>110</v>
      </c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91"/>
      <c r="AH44" s="105">
        <f>SUM(AH3:AH43)</f>
        <v>323</v>
      </c>
      <c r="AI44" s="105">
        <f>SUM(AI3:AI43)</f>
        <v>0</v>
      </c>
      <c r="AJ44" s="106">
        <f>SUM(AJ20:AJ43)</f>
        <v>539</v>
      </c>
      <c r="AK44" s="105">
        <f>SUM(AK3:AK43)</f>
        <v>9950</v>
      </c>
      <c r="AL44" s="105">
        <f>SUM(AL3:AL43)</f>
        <v>0</v>
      </c>
      <c r="AM44" s="105">
        <f>SUM(AM3:AM43)</f>
        <v>243050</v>
      </c>
      <c r="AN44" s="105">
        <f>SUM(AN3:AN43)</f>
        <v>83581.25</v>
      </c>
      <c r="AO44" s="105">
        <f>SUM(AO5:AO43)</f>
        <v>326631.25</v>
      </c>
      <c r="AP44" s="122"/>
      <c r="AQ44" s="121"/>
      <c r="AR44" s="89"/>
      <c r="AS44" s="70"/>
      <c r="AT44" s="71"/>
    </row>
    <row r="45" spans="1:47" s="96" customFormat="1" ht="26.25" customHeight="1" x14ac:dyDescent="0.25">
      <c r="A45" s="209" t="s">
        <v>137</v>
      </c>
      <c r="B45" s="209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209"/>
      <c r="Z45" s="209"/>
      <c r="AA45" s="209"/>
      <c r="AB45" s="209"/>
      <c r="AC45" s="209"/>
      <c r="AD45" s="209"/>
      <c r="AE45" s="209"/>
      <c r="AF45" s="209"/>
      <c r="AG45" s="107"/>
      <c r="AH45" s="108"/>
      <c r="AI45" s="108"/>
      <c r="AJ45" s="109"/>
      <c r="AK45" s="110"/>
      <c r="AL45" s="110"/>
      <c r="AM45" s="110"/>
      <c r="AN45" s="111"/>
      <c r="AO45" s="111"/>
      <c r="AP45" s="100" t="s">
        <v>142</v>
      </c>
      <c r="AQ45" s="93"/>
      <c r="AR45" s="94"/>
      <c r="AS45" s="94"/>
      <c r="AT45" s="95"/>
    </row>
    <row r="46" spans="1:47" ht="14.45" customHeight="1" x14ac:dyDescent="0.25">
      <c r="A46" s="211">
        <v>1</v>
      </c>
      <c r="B46" s="212" t="s">
        <v>135</v>
      </c>
      <c r="C46" s="78" t="s">
        <v>52</v>
      </c>
      <c r="D46" s="78" t="s">
        <v>41</v>
      </c>
      <c r="E46" s="81" t="s">
        <v>41</v>
      </c>
      <c r="F46" s="78" t="s">
        <v>41</v>
      </c>
      <c r="G46" s="78" t="s">
        <v>41</v>
      </c>
      <c r="H46" s="78" t="s">
        <v>41</v>
      </c>
      <c r="I46" s="78" t="s">
        <v>41</v>
      </c>
      <c r="J46" s="78" t="s">
        <v>41</v>
      </c>
      <c r="K46" s="78" t="s">
        <v>41</v>
      </c>
      <c r="L46" s="81" t="s">
        <v>41</v>
      </c>
      <c r="M46" s="78" t="s">
        <v>41</v>
      </c>
      <c r="N46" s="79" t="s">
        <v>41</v>
      </c>
      <c r="O46" s="79" t="s">
        <v>41</v>
      </c>
      <c r="P46" s="79" t="s">
        <v>41</v>
      </c>
      <c r="Q46" s="79" t="s">
        <v>41</v>
      </c>
      <c r="R46" s="79" t="s">
        <v>41</v>
      </c>
      <c r="S46" s="80" t="s">
        <v>41</v>
      </c>
      <c r="T46" s="79" t="s">
        <v>41</v>
      </c>
      <c r="U46" s="79" t="s">
        <v>41</v>
      </c>
      <c r="V46" s="79" t="s">
        <v>41</v>
      </c>
      <c r="W46" s="79" t="s">
        <v>41</v>
      </c>
      <c r="X46" s="79" t="s">
        <v>52</v>
      </c>
      <c r="Y46" s="79" t="s">
        <v>41</v>
      </c>
      <c r="Z46" s="80" t="s">
        <v>52</v>
      </c>
      <c r="AA46" s="79" t="s">
        <v>41</v>
      </c>
      <c r="AB46" s="79" t="s">
        <v>41</v>
      </c>
      <c r="AC46" s="79" t="s">
        <v>41</v>
      </c>
      <c r="AD46" s="78" t="s">
        <v>41</v>
      </c>
      <c r="AE46" s="78" t="s">
        <v>41</v>
      </c>
      <c r="AF46" s="78" t="s">
        <v>41</v>
      </c>
      <c r="AG46" s="81" t="s">
        <v>41</v>
      </c>
      <c r="AH46" s="213">
        <f>COUNTIF(B46:AG46,"P")</f>
        <v>28</v>
      </c>
      <c r="AI46" s="213">
        <f>COUNTIF(C46:AG46,"P/2")</f>
        <v>0</v>
      </c>
      <c r="AJ46" s="214">
        <f t="shared" ref="AJ46:AJ52" si="50">SUM(C47:AG47)</f>
        <v>67</v>
      </c>
      <c r="AK46" s="215">
        <v>900</v>
      </c>
      <c r="AL46" s="215">
        <f>AK46*AI46/2</f>
        <v>0</v>
      </c>
      <c r="AM46" s="215">
        <f>AH46*AK46+AL46</f>
        <v>25200</v>
      </c>
      <c r="AN46" s="207">
        <f>AJ46/8*AK46</f>
        <v>7537.5</v>
      </c>
      <c r="AO46" s="208">
        <f t="shared" ref="AO46" si="51">AM46+AN46</f>
        <v>32737.5</v>
      </c>
      <c r="AP46" s="219">
        <v>34000</v>
      </c>
      <c r="AQ46" s="192">
        <f>AP46/28</f>
        <v>1214.2857142857142</v>
      </c>
      <c r="AR46" s="192">
        <f>AH46*AQ46</f>
        <v>34000</v>
      </c>
      <c r="AS46" s="85"/>
      <c r="AT46" s="64"/>
      <c r="AU46" s="66"/>
    </row>
    <row r="47" spans="1:47" ht="14.45" customHeight="1" x14ac:dyDescent="0.25">
      <c r="A47" s="211"/>
      <c r="B47" s="212"/>
      <c r="C47" s="78"/>
      <c r="D47" s="79"/>
      <c r="E47" s="80"/>
      <c r="F47" s="79">
        <v>3</v>
      </c>
      <c r="G47" s="79">
        <v>3</v>
      </c>
      <c r="H47" s="79">
        <v>3</v>
      </c>
      <c r="I47" s="78">
        <v>3</v>
      </c>
      <c r="J47" s="79">
        <v>3</v>
      </c>
      <c r="K47" s="79">
        <v>3</v>
      </c>
      <c r="L47" s="80"/>
      <c r="M47" s="79">
        <v>2</v>
      </c>
      <c r="N47" s="79">
        <v>3</v>
      </c>
      <c r="O47" s="79">
        <v>3</v>
      </c>
      <c r="P47" s="79">
        <v>2</v>
      </c>
      <c r="Q47" s="79">
        <v>3</v>
      </c>
      <c r="R47" s="79">
        <v>3</v>
      </c>
      <c r="S47" s="80"/>
      <c r="T47" s="79">
        <v>3</v>
      </c>
      <c r="U47" s="79">
        <v>3</v>
      </c>
      <c r="V47" s="79">
        <v>2</v>
      </c>
      <c r="W47" s="79">
        <v>8</v>
      </c>
      <c r="X47" s="79"/>
      <c r="Y47" s="79">
        <v>2</v>
      </c>
      <c r="Z47" s="80"/>
      <c r="AA47" s="79">
        <v>3</v>
      </c>
      <c r="AB47" s="79">
        <v>3</v>
      </c>
      <c r="AC47" s="79"/>
      <c r="AD47" s="76">
        <v>3</v>
      </c>
      <c r="AE47" s="76">
        <v>3</v>
      </c>
      <c r="AF47" s="76">
        <v>3</v>
      </c>
      <c r="AG47" s="77"/>
      <c r="AH47" s="213"/>
      <c r="AI47" s="213"/>
      <c r="AJ47" s="214"/>
      <c r="AK47" s="215"/>
      <c r="AL47" s="215"/>
      <c r="AM47" s="215"/>
      <c r="AN47" s="207"/>
      <c r="AO47" s="208"/>
      <c r="AP47" s="219"/>
      <c r="AQ47" s="193"/>
      <c r="AR47" s="193"/>
      <c r="AS47" s="85"/>
      <c r="AT47" s="64"/>
      <c r="AU47" s="66"/>
    </row>
    <row r="48" spans="1:47" ht="13.5" customHeight="1" x14ac:dyDescent="0.25">
      <c r="A48" s="211"/>
      <c r="B48" s="212"/>
      <c r="C48" s="76"/>
      <c r="D48" s="76"/>
      <c r="E48" s="77"/>
      <c r="F48" s="76"/>
      <c r="G48" s="76"/>
      <c r="H48" s="76"/>
      <c r="I48" s="76"/>
      <c r="J48" s="76"/>
      <c r="K48" s="76"/>
      <c r="L48" s="77"/>
      <c r="M48" s="76"/>
      <c r="N48" s="76"/>
      <c r="O48" s="76"/>
      <c r="P48" s="76"/>
      <c r="Q48" s="76"/>
      <c r="R48" s="76"/>
      <c r="S48" s="77"/>
      <c r="T48" s="76"/>
      <c r="U48" s="76"/>
      <c r="V48" s="76"/>
      <c r="W48" s="76"/>
      <c r="X48" s="76"/>
      <c r="Y48" s="76"/>
      <c r="Z48" s="77"/>
      <c r="AA48" s="76"/>
      <c r="AB48" s="76"/>
      <c r="AC48" s="76"/>
      <c r="AD48" s="76"/>
      <c r="AE48" s="76"/>
      <c r="AF48" s="76"/>
      <c r="AG48" s="77"/>
      <c r="AH48" s="213"/>
      <c r="AI48" s="213"/>
      <c r="AJ48" s="214"/>
      <c r="AK48" s="215"/>
      <c r="AL48" s="215"/>
      <c r="AM48" s="215"/>
      <c r="AN48" s="207"/>
      <c r="AO48" s="208"/>
      <c r="AP48" s="219"/>
      <c r="AQ48" s="194"/>
      <c r="AR48" s="194"/>
      <c r="AS48" s="85"/>
      <c r="AT48" s="64"/>
      <c r="AU48" s="66"/>
    </row>
    <row r="49" spans="1:47" ht="14.45" customHeight="1" x14ac:dyDescent="0.25">
      <c r="A49" s="211">
        <v>2</v>
      </c>
      <c r="B49" s="212" t="s">
        <v>144</v>
      </c>
      <c r="C49" s="78" t="s">
        <v>52</v>
      </c>
      <c r="D49" s="78" t="s">
        <v>41</v>
      </c>
      <c r="E49" s="81" t="s">
        <v>41</v>
      </c>
      <c r="F49" s="78" t="s">
        <v>41</v>
      </c>
      <c r="G49" s="78" t="s">
        <v>41</v>
      </c>
      <c r="H49" s="78" t="s">
        <v>41</v>
      </c>
      <c r="I49" s="78" t="s">
        <v>41</v>
      </c>
      <c r="J49" s="78" t="s">
        <v>41</v>
      </c>
      <c r="K49" s="78" t="s">
        <v>41</v>
      </c>
      <c r="L49" s="81" t="s">
        <v>41</v>
      </c>
      <c r="M49" s="78" t="s">
        <v>41</v>
      </c>
      <c r="N49" s="78" t="s">
        <v>41</v>
      </c>
      <c r="O49" s="78" t="s">
        <v>41</v>
      </c>
      <c r="P49" s="78" t="s">
        <v>41</v>
      </c>
      <c r="Q49" s="78" t="s">
        <v>41</v>
      </c>
      <c r="R49" s="78" t="s">
        <v>41</v>
      </c>
      <c r="S49" s="81" t="s">
        <v>41</v>
      </c>
      <c r="T49" s="78" t="s">
        <v>41</v>
      </c>
      <c r="U49" s="78" t="s">
        <v>41</v>
      </c>
      <c r="V49" s="78" t="s">
        <v>41</v>
      </c>
      <c r="W49" s="78" t="s">
        <v>41</v>
      </c>
      <c r="X49" s="72" t="s">
        <v>52</v>
      </c>
      <c r="Y49" s="72" t="s">
        <v>41</v>
      </c>
      <c r="Z49" s="73" t="s">
        <v>52</v>
      </c>
      <c r="AA49" s="72" t="s">
        <v>41</v>
      </c>
      <c r="AB49" s="72" t="s">
        <v>41</v>
      </c>
      <c r="AC49" s="72" t="s">
        <v>41</v>
      </c>
      <c r="AD49" s="72" t="s">
        <v>41</v>
      </c>
      <c r="AE49" s="72" t="s">
        <v>41</v>
      </c>
      <c r="AF49" s="72" t="s">
        <v>41</v>
      </c>
      <c r="AG49" s="73" t="s">
        <v>41</v>
      </c>
      <c r="AH49" s="213">
        <f>COUNTIF(B49:AG49,"P")</f>
        <v>28</v>
      </c>
      <c r="AI49" s="213">
        <f t="shared" ref="AI49" si="52">COUNTIF(C49:AG49,"P/2")</f>
        <v>0</v>
      </c>
      <c r="AJ49" s="214">
        <f t="shared" si="50"/>
        <v>54</v>
      </c>
      <c r="AK49" s="215">
        <v>750</v>
      </c>
      <c r="AL49" s="215">
        <f>AK49*AI49/2</f>
        <v>0</v>
      </c>
      <c r="AM49" s="215">
        <f>AH49*AK49+AL49</f>
        <v>21000</v>
      </c>
      <c r="AN49" s="207">
        <f>AJ49/8*AK49</f>
        <v>5062.5</v>
      </c>
      <c r="AO49" s="208">
        <f t="shared" ref="AO49" si="53">AM49+AN49</f>
        <v>26062.5</v>
      </c>
      <c r="AP49" s="219"/>
      <c r="AQ49" s="208"/>
      <c r="AR49" s="85"/>
      <c r="AS49" s="85"/>
      <c r="AT49" s="83"/>
      <c r="AU49" s="66"/>
    </row>
    <row r="50" spans="1:47" ht="14.45" customHeight="1" x14ac:dyDescent="0.25">
      <c r="A50" s="211"/>
      <c r="B50" s="212"/>
      <c r="C50" s="74"/>
      <c r="D50" s="74"/>
      <c r="E50" s="75"/>
      <c r="F50" s="74">
        <v>1</v>
      </c>
      <c r="G50" s="74">
        <v>1</v>
      </c>
      <c r="H50" s="74">
        <v>1</v>
      </c>
      <c r="I50" s="74">
        <v>2</v>
      </c>
      <c r="J50" s="76">
        <v>2</v>
      </c>
      <c r="K50" s="76">
        <v>2</v>
      </c>
      <c r="L50" s="77">
        <v>5</v>
      </c>
      <c r="M50" s="76">
        <v>2</v>
      </c>
      <c r="N50" s="76"/>
      <c r="O50" s="76">
        <v>3</v>
      </c>
      <c r="P50" s="76"/>
      <c r="Q50" s="76">
        <v>2</v>
      </c>
      <c r="R50" s="76"/>
      <c r="S50" s="77">
        <v>4</v>
      </c>
      <c r="T50" s="76">
        <v>3</v>
      </c>
      <c r="U50" s="76">
        <v>3</v>
      </c>
      <c r="V50" s="76">
        <v>2</v>
      </c>
      <c r="W50" s="76">
        <v>3</v>
      </c>
      <c r="X50" s="76"/>
      <c r="Y50" s="76">
        <v>2</v>
      </c>
      <c r="Z50" s="77"/>
      <c r="AA50" s="76">
        <v>3</v>
      </c>
      <c r="AB50" s="74">
        <v>3</v>
      </c>
      <c r="AC50" s="76"/>
      <c r="AD50" s="76">
        <v>4</v>
      </c>
      <c r="AE50" s="76">
        <v>3</v>
      </c>
      <c r="AF50" s="76">
        <v>3</v>
      </c>
      <c r="AG50" s="77"/>
      <c r="AH50" s="213"/>
      <c r="AI50" s="213"/>
      <c r="AJ50" s="214"/>
      <c r="AK50" s="215"/>
      <c r="AL50" s="215"/>
      <c r="AM50" s="215"/>
      <c r="AN50" s="207"/>
      <c r="AO50" s="208"/>
      <c r="AP50" s="219"/>
      <c r="AQ50" s="208"/>
      <c r="AR50" s="85"/>
      <c r="AS50" s="85"/>
      <c r="AT50" s="83"/>
      <c r="AU50" s="66"/>
    </row>
    <row r="51" spans="1:47" ht="14.45" customHeight="1" x14ac:dyDescent="0.25">
      <c r="A51" s="211"/>
      <c r="B51" s="212"/>
      <c r="C51" s="76"/>
      <c r="D51" s="76"/>
      <c r="E51" s="77"/>
      <c r="F51" s="76"/>
      <c r="G51" s="76"/>
      <c r="H51" s="76"/>
      <c r="I51" s="76"/>
      <c r="J51" s="76"/>
      <c r="K51" s="76"/>
      <c r="L51" s="77"/>
      <c r="M51" s="76"/>
      <c r="N51" s="76"/>
      <c r="O51" s="76"/>
      <c r="P51" s="76"/>
      <c r="Q51" s="76"/>
      <c r="R51" s="76"/>
      <c r="S51" s="77"/>
      <c r="T51" s="76"/>
      <c r="U51" s="76"/>
      <c r="V51" s="76"/>
      <c r="W51" s="76"/>
      <c r="X51" s="76"/>
      <c r="Y51" s="76"/>
      <c r="Z51" s="77"/>
      <c r="AA51" s="76"/>
      <c r="AB51" s="76"/>
      <c r="AC51" s="76"/>
      <c r="AD51" s="76"/>
      <c r="AE51" s="76"/>
      <c r="AF51" s="76"/>
      <c r="AG51" s="77"/>
      <c r="AH51" s="213"/>
      <c r="AI51" s="213"/>
      <c r="AJ51" s="214"/>
      <c r="AK51" s="215"/>
      <c r="AL51" s="215"/>
      <c r="AM51" s="215"/>
      <c r="AN51" s="207"/>
      <c r="AO51" s="208"/>
      <c r="AP51" s="219"/>
      <c r="AQ51" s="208"/>
      <c r="AR51" s="85"/>
      <c r="AS51" s="85"/>
      <c r="AT51" s="83"/>
      <c r="AU51" s="66"/>
    </row>
    <row r="52" spans="1:47" ht="14.45" customHeight="1" x14ac:dyDescent="0.25">
      <c r="A52" s="211">
        <v>3</v>
      </c>
      <c r="B52" s="212" t="s">
        <v>136</v>
      </c>
      <c r="C52" s="78" t="s">
        <v>52</v>
      </c>
      <c r="D52" s="78" t="s">
        <v>41</v>
      </c>
      <c r="E52" s="81" t="s">
        <v>41</v>
      </c>
      <c r="F52" s="78" t="s">
        <v>41</v>
      </c>
      <c r="G52" s="78" t="s">
        <v>41</v>
      </c>
      <c r="H52" s="78" t="s">
        <v>41</v>
      </c>
      <c r="I52" s="78" t="s">
        <v>41</v>
      </c>
      <c r="J52" s="78" t="s">
        <v>41</v>
      </c>
      <c r="K52" s="78" t="s">
        <v>41</v>
      </c>
      <c r="L52" s="81" t="s">
        <v>52</v>
      </c>
      <c r="M52" s="78" t="s">
        <v>41</v>
      </c>
      <c r="N52" s="78" t="s">
        <v>41</v>
      </c>
      <c r="O52" s="78" t="s">
        <v>41</v>
      </c>
      <c r="P52" s="78" t="s">
        <v>41</v>
      </c>
      <c r="Q52" s="78" t="s">
        <v>41</v>
      </c>
      <c r="R52" s="78" t="s">
        <v>41</v>
      </c>
      <c r="S52" s="81" t="s">
        <v>52</v>
      </c>
      <c r="T52" s="78" t="s">
        <v>41</v>
      </c>
      <c r="U52" s="78" t="s">
        <v>41</v>
      </c>
      <c r="V52" s="78" t="s">
        <v>41</v>
      </c>
      <c r="W52" s="78" t="s">
        <v>41</v>
      </c>
      <c r="X52" s="72" t="s">
        <v>52</v>
      </c>
      <c r="Y52" s="72" t="s">
        <v>41</v>
      </c>
      <c r="Z52" s="73" t="s">
        <v>52</v>
      </c>
      <c r="AA52" s="72" t="s">
        <v>41</v>
      </c>
      <c r="AB52" s="72" t="s">
        <v>41</v>
      </c>
      <c r="AC52" s="72" t="s">
        <v>41</v>
      </c>
      <c r="AD52" s="72" t="s">
        <v>41</v>
      </c>
      <c r="AE52" s="72" t="s">
        <v>41</v>
      </c>
      <c r="AF52" s="72" t="s">
        <v>41</v>
      </c>
      <c r="AG52" s="73" t="s">
        <v>41</v>
      </c>
      <c r="AH52" s="213">
        <f>COUNTIF(B52:AG52,"P")</f>
        <v>26</v>
      </c>
      <c r="AI52" s="213">
        <f t="shared" ref="AI52" si="54">COUNTIF(C52:AG52,"P/2")</f>
        <v>0</v>
      </c>
      <c r="AJ52" s="214">
        <f t="shared" si="50"/>
        <v>33</v>
      </c>
      <c r="AK52" s="215"/>
      <c r="AL52" s="215">
        <f>AK52*AI52/2</f>
        <v>0</v>
      </c>
      <c r="AM52" s="215">
        <f>AH52*AK52+AL52</f>
        <v>0</v>
      </c>
      <c r="AN52" s="207">
        <f>AJ52/8*AK52</f>
        <v>0</v>
      </c>
      <c r="AO52" s="208">
        <f t="shared" ref="AO52" si="55">AM52+AN52</f>
        <v>0</v>
      </c>
      <c r="AP52" s="219"/>
      <c r="AQ52" s="208"/>
      <c r="AR52" s="85"/>
      <c r="AS52" s="85"/>
      <c r="AT52" s="83"/>
      <c r="AU52" s="66"/>
    </row>
    <row r="53" spans="1:47" ht="14.45" customHeight="1" x14ac:dyDescent="0.25">
      <c r="A53" s="211"/>
      <c r="B53" s="212"/>
      <c r="C53" s="74"/>
      <c r="D53" s="74"/>
      <c r="E53" s="75">
        <v>4</v>
      </c>
      <c r="F53" s="74"/>
      <c r="G53" s="74"/>
      <c r="H53" s="74"/>
      <c r="I53" s="74"/>
      <c r="J53" s="76">
        <v>2</v>
      </c>
      <c r="K53" s="76"/>
      <c r="L53" s="77"/>
      <c r="M53" s="76">
        <v>1</v>
      </c>
      <c r="N53" s="76">
        <v>2</v>
      </c>
      <c r="O53" s="76">
        <v>2</v>
      </c>
      <c r="P53" s="76">
        <v>1</v>
      </c>
      <c r="Q53" s="76">
        <v>2</v>
      </c>
      <c r="R53" s="76">
        <v>2</v>
      </c>
      <c r="S53" s="77"/>
      <c r="T53" s="76"/>
      <c r="U53" s="76">
        <v>2</v>
      </c>
      <c r="V53" s="76">
        <v>2</v>
      </c>
      <c r="W53" s="76">
        <v>2</v>
      </c>
      <c r="X53" s="76"/>
      <c r="Y53" s="76">
        <v>2</v>
      </c>
      <c r="Z53" s="77"/>
      <c r="AA53" s="76">
        <v>2</v>
      </c>
      <c r="AB53" s="74">
        <v>2</v>
      </c>
      <c r="AC53" s="76"/>
      <c r="AD53" s="76"/>
      <c r="AE53" s="76">
        <v>3</v>
      </c>
      <c r="AF53" s="76">
        <v>2</v>
      </c>
      <c r="AG53" s="77"/>
      <c r="AH53" s="213"/>
      <c r="AI53" s="213"/>
      <c r="AJ53" s="214"/>
      <c r="AK53" s="215"/>
      <c r="AL53" s="215"/>
      <c r="AM53" s="215"/>
      <c r="AN53" s="207"/>
      <c r="AO53" s="208"/>
      <c r="AP53" s="219"/>
      <c r="AQ53" s="208"/>
      <c r="AR53" s="85"/>
      <c r="AS53" s="85"/>
      <c r="AT53" s="83"/>
      <c r="AU53" s="66"/>
    </row>
    <row r="54" spans="1:47" ht="14.45" customHeight="1" x14ac:dyDescent="0.25">
      <c r="A54" s="211"/>
      <c r="B54" s="212"/>
      <c r="C54" s="76"/>
      <c r="D54" s="76"/>
      <c r="E54" s="77"/>
      <c r="F54" s="76"/>
      <c r="G54" s="76"/>
      <c r="H54" s="76"/>
      <c r="I54" s="76"/>
      <c r="J54" s="76"/>
      <c r="K54" s="76"/>
      <c r="L54" s="77"/>
      <c r="M54" s="76"/>
      <c r="N54" s="76"/>
      <c r="O54" s="76"/>
      <c r="P54" s="76"/>
      <c r="Q54" s="76"/>
      <c r="R54" s="76"/>
      <c r="S54" s="77"/>
      <c r="T54" s="76"/>
      <c r="U54" s="76"/>
      <c r="V54" s="76"/>
      <c r="W54" s="76"/>
      <c r="X54" s="76"/>
      <c r="Y54" s="76"/>
      <c r="Z54" s="77"/>
      <c r="AA54" s="76"/>
      <c r="AB54" s="76"/>
      <c r="AC54" s="76"/>
      <c r="AD54" s="76"/>
      <c r="AE54" s="76"/>
      <c r="AF54" s="76"/>
      <c r="AG54" s="77"/>
      <c r="AH54" s="213"/>
      <c r="AI54" s="213"/>
      <c r="AJ54" s="214"/>
      <c r="AK54" s="215"/>
      <c r="AL54" s="215"/>
      <c r="AM54" s="215"/>
      <c r="AN54" s="207"/>
      <c r="AO54" s="208"/>
      <c r="AP54" s="219"/>
      <c r="AQ54" s="208"/>
      <c r="AR54" s="85"/>
      <c r="AS54" s="85"/>
      <c r="AT54" s="83"/>
      <c r="AU54" s="66"/>
    </row>
    <row r="55" spans="1:47" ht="21" x14ac:dyDescent="0.35">
      <c r="A55" s="216" t="s">
        <v>110</v>
      </c>
      <c r="B55" s="216"/>
      <c r="C55" s="216"/>
      <c r="D55" s="216"/>
      <c r="E55" s="216"/>
      <c r="F55" s="216"/>
      <c r="G55" s="216"/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/>
      <c r="X55" s="216"/>
      <c r="Y55" s="216"/>
      <c r="Z55" s="216"/>
      <c r="AA55" s="216"/>
      <c r="AB55" s="216"/>
      <c r="AC55" s="216"/>
      <c r="AD55" s="216"/>
      <c r="AE55" s="216"/>
      <c r="AF55" s="216"/>
      <c r="AG55" s="92"/>
      <c r="AH55" s="56">
        <f t="shared" ref="AH55:AO55" si="56">SUM(AH46:AH51)</f>
        <v>56</v>
      </c>
      <c r="AI55" s="56">
        <f t="shared" si="56"/>
        <v>0</v>
      </c>
      <c r="AJ55" s="57">
        <f t="shared" si="56"/>
        <v>121</v>
      </c>
      <c r="AK55" s="57">
        <f t="shared" si="56"/>
        <v>1650</v>
      </c>
      <c r="AL55" s="56">
        <f t="shared" si="56"/>
        <v>0</v>
      </c>
      <c r="AM55" s="58">
        <f t="shared" si="56"/>
        <v>46200</v>
      </c>
      <c r="AN55" s="59">
        <f t="shared" si="56"/>
        <v>12600</v>
      </c>
      <c r="AO55" s="60">
        <f t="shared" si="56"/>
        <v>58800</v>
      </c>
      <c r="AP55" s="63"/>
      <c r="AQ55" s="62"/>
      <c r="AR55" s="67"/>
      <c r="AS55" s="61"/>
      <c r="AT55" s="61"/>
      <c r="AU55" s="61"/>
    </row>
    <row r="56" spans="1:47" ht="18.75" x14ac:dyDescent="0.25">
      <c r="A56" s="2"/>
      <c r="B56" s="2"/>
      <c r="C56" s="86"/>
      <c r="D56" s="2"/>
      <c r="E56" s="112"/>
      <c r="F56" s="2"/>
      <c r="G56" s="2"/>
      <c r="H56" s="2"/>
      <c r="I56" s="2"/>
      <c r="J56" s="2"/>
      <c r="K56" s="2"/>
      <c r="L56" s="112"/>
      <c r="M56" s="2"/>
      <c r="N56" s="2"/>
      <c r="O56" s="2"/>
      <c r="P56" s="2"/>
      <c r="Q56" s="2"/>
      <c r="R56" s="2"/>
      <c r="S56" s="112"/>
      <c r="T56" s="2"/>
      <c r="U56" s="2"/>
      <c r="V56" s="2"/>
      <c r="W56" s="2"/>
      <c r="X56" s="2"/>
      <c r="Y56" s="2"/>
      <c r="Z56" s="112"/>
      <c r="AA56" s="2"/>
      <c r="AB56" s="2"/>
      <c r="AC56" s="2"/>
      <c r="AD56" s="84"/>
      <c r="AE56" s="2"/>
      <c r="AF56" s="2"/>
      <c r="AG56" s="112"/>
      <c r="AH56" s="2"/>
      <c r="AI56" s="2"/>
      <c r="AJ56" s="2"/>
      <c r="AK56" s="2"/>
      <c r="AL56" s="2"/>
      <c r="AM56" s="2"/>
      <c r="AN56" s="2"/>
      <c r="AO56" s="2"/>
      <c r="AP56" s="101"/>
      <c r="AQ56" s="68"/>
      <c r="AR56" s="68"/>
      <c r="AS56" s="68"/>
      <c r="AT56" s="61"/>
      <c r="AU56" s="61"/>
    </row>
    <row r="57" spans="1:47" ht="21" customHeight="1" x14ac:dyDescent="0.35">
      <c r="A57" s="210" t="s">
        <v>121</v>
      </c>
      <c r="B57" s="210"/>
      <c r="C57" s="210"/>
      <c r="D57" s="210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  <c r="AA57" s="210"/>
      <c r="AB57" s="210"/>
      <c r="AC57" s="210"/>
      <c r="AD57" s="210"/>
      <c r="AE57" s="210"/>
      <c r="AF57" s="210"/>
      <c r="AG57" s="113"/>
      <c r="AH57" s="2"/>
      <c r="AI57" s="2"/>
      <c r="AJ57" s="2"/>
      <c r="AK57" s="2"/>
      <c r="AL57" s="217"/>
      <c r="AM57" s="217"/>
      <c r="AN57" s="217"/>
      <c r="AO57" s="114"/>
      <c r="AP57" s="115" t="s">
        <v>142</v>
      </c>
      <c r="AQ57" s="69"/>
      <c r="AR57" s="69"/>
      <c r="AS57" s="69"/>
      <c r="AT57" s="61"/>
      <c r="AU57" s="61"/>
    </row>
    <row r="58" spans="1:47" ht="12.6" customHeight="1" x14ac:dyDescent="0.25">
      <c r="A58" s="211">
        <v>1</v>
      </c>
      <c r="B58" s="212" t="s">
        <v>122</v>
      </c>
      <c r="C58" s="72" t="s">
        <v>52</v>
      </c>
      <c r="D58" s="72" t="s">
        <v>41</v>
      </c>
      <c r="E58" s="73" t="s">
        <v>41</v>
      </c>
      <c r="F58" s="72" t="s">
        <v>41</v>
      </c>
      <c r="G58" s="72" t="s">
        <v>41</v>
      </c>
      <c r="H58" s="72" t="s">
        <v>41</v>
      </c>
      <c r="I58" s="72" t="s">
        <v>41</v>
      </c>
      <c r="J58" s="72" t="s">
        <v>41</v>
      </c>
      <c r="K58" s="72" t="s">
        <v>41</v>
      </c>
      <c r="L58" s="73" t="s">
        <v>41</v>
      </c>
      <c r="M58" s="72" t="s">
        <v>41</v>
      </c>
      <c r="N58" s="72" t="s">
        <v>41</v>
      </c>
      <c r="O58" s="72" t="s">
        <v>41</v>
      </c>
      <c r="P58" s="72" t="s">
        <v>41</v>
      </c>
      <c r="Q58" s="72" t="s">
        <v>52</v>
      </c>
      <c r="R58" s="72" t="s">
        <v>41</v>
      </c>
      <c r="S58" s="73" t="s">
        <v>41</v>
      </c>
      <c r="T58" s="72" t="s">
        <v>41</v>
      </c>
      <c r="U58" s="72" t="s">
        <v>41</v>
      </c>
      <c r="V58" s="72" t="s">
        <v>41</v>
      </c>
      <c r="W58" s="72" t="s">
        <v>52</v>
      </c>
      <c r="X58" s="72" t="s">
        <v>52</v>
      </c>
      <c r="Y58" s="72" t="s">
        <v>41</v>
      </c>
      <c r="Z58" s="73" t="s">
        <v>52</v>
      </c>
      <c r="AA58" s="72" t="s">
        <v>41</v>
      </c>
      <c r="AB58" s="72" t="s">
        <v>41</v>
      </c>
      <c r="AC58" s="72" t="s">
        <v>52</v>
      </c>
      <c r="AD58" s="72" t="s">
        <v>41</v>
      </c>
      <c r="AE58" s="72" t="s">
        <v>41</v>
      </c>
      <c r="AF58" s="72" t="s">
        <v>41</v>
      </c>
      <c r="AG58" s="73" t="s">
        <v>41</v>
      </c>
      <c r="AH58" s="213">
        <f>COUNTIF(B58:AG58,"P")</f>
        <v>25</v>
      </c>
      <c r="AI58" s="213">
        <f>COUNTIF(C58:AG58,"P/2")</f>
        <v>0</v>
      </c>
      <c r="AJ58" s="214">
        <f t="shared" ref="AJ58:AJ103" si="57">SUM(C59:AG59)</f>
        <v>59</v>
      </c>
      <c r="AK58" s="215"/>
      <c r="AL58" s="218">
        <f>AK58*AI58/2</f>
        <v>0</v>
      </c>
      <c r="AM58" s="215">
        <f>AH58*AK58+AL58</f>
        <v>0</v>
      </c>
      <c r="AN58" s="207">
        <f>AJ58/8*AK58</f>
        <v>0</v>
      </c>
      <c r="AO58" s="207">
        <f>AM58+AN58</f>
        <v>0</v>
      </c>
      <c r="AP58" s="199">
        <v>35000</v>
      </c>
      <c r="AQ58" s="199">
        <f>AP58/28</f>
        <v>1250</v>
      </c>
      <c r="AR58" s="199">
        <f>AH58*AQ58</f>
        <v>31250</v>
      </c>
      <c r="AS58" s="204"/>
    </row>
    <row r="59" spans="1:47" ht="12.6" customHeight="1" x14ac:dyDescent="0.25">
      <c r="A59" s="211"/>
      <c r="B59" s="212"/>
      <c r="C59" s="74"/>
      <c r="D59" s="74"/>
      <c r="E59" s="75">
        <v>2</v>
      </c>
      <c r="F59" s="74">
        <v>3</v>
      </c>
      <c r="G59" s="74">
        <v>3</v>
      </c>
      <c r="H59" s="74">
        <v>3</v>
      </c>
      <c r="I59" s="78">
        <v>3</v>
      </c>
      <c r="J59" s="74">
        <v>3</v>
      </c>
      <c r="K59" s="74">
        <v>3</v>
      </c>
      <c r="L59" s="75"/>
      <c r="M59" s="74">
        <v>3</v>
      </c>
      <c r="N59" s="74">
        <v>3</v>
      </c>
      <c r="O59" s="74">
        <v>3</v>
      </c>
      <c r="P59" s="74">
        <v>2</v>
      </c>
      <c r="Q59" s="74"/>
      <c r="R59" s="74">
        <v>3</v>
      </c>
      <c r="S59" s="75"/>
      <c r="T59" s="74">
        <v>3</v>
      </c>
      <c r="U59" s="74">
        <v>3</v>
      </c>
      <c r="V59" s="74">
        <v>2</v>
      </c>
      <c r="W59" s="74"/>
      <c r="X59" s="74"/>
      <c r="Y59" s="74">
        <v>2</v>
      </c>
      <c r="Z59" s="75"/>
      <c r="AA59" s="74">
        <v>3</v>
      </c>
      <c r="AB59" s="74">
        <v>3</v>
      </c>
      <c r="AC59" s="74"/>
      <c r="AD59" s="74">
        <v>3</v>
      </c>
      <c r="AE59" s="74">
        <v>3</v>
      </c>
      <c r="AF59" s="74">
        <v>3</v>
      </c>
      <c r="AG59" s="75"/>
      <c r="AH59" s="213"/>
      <c r="AI59" s="213"/>
      <c r="AJ59" s="214"/>
      <c r="AK59" s="215"/>
      <c r="AL59" s="218"/>
      <c r="AM59" s="215"/>
      <c r="AN59" s="207"/>
      <c r="AO59" s="207"/>
      <c r="AP59" s="200"/>
      <c r="AQ59" s="200"/>
      <c r="AR59" s="200"/>
      <c r="AS59" s="205"/>
    </row>
    <row r="60" spans="1:47" ht="12.6" customHeight="1" x14ac:dyDescent="0.25">
      <c r="A60" s="211"/>
      <c r="B60" s="212"/>
      <c r="C60" s="76"/>
      <c r="D60" s="76"/>
      <c r="E60" s="77"/>
      <c r="F60" s="76"/>
      <c r="G60" s="76"/>
      <c r="H60" s="76"/>
      <c r="I60" s="78"/>
      <c r="J60" s="76"/>
      <c r="K60" s="76"/>
      <c r="L60" s="77"/>
      <c r="M60" s="76"/>
      <c r="N60" s="76"/>
      <c r="O60" s="76"/>
      <c r="P60" s="76"/>
      <c r="Q60" s="76"/>
      <c r="R60" s="76"/>
      <c r="S60" s="77"/>
      <c r="T60" s="76"/>
      <c r="U60" s="76"/>
      <c r="V60" s="76"/>
      <c r="W60" s="76"/>
      <c r="X60" s="76"/>
      <c r="Y60" s="76"/>
      <c r="Z60" s="77"/>
      <c r="AA60" s="76"/>
      <c r="AB60" s="76"/>
      <c r="AC60" s="76"/>
      <c r="AD60" s="76"/>
      <c r="AE60" s="76"/>
      <c r="AF60" s="76"/>
      <c r="AG60" s="77"/>
      <c r="AH60" s="213"/>
      <c r="AI60" s="213"/>
      <c r="AJ60" s="214"/>
      <c r="AK60" s="215"/>
      <c r="AL60" s="218"/>
      <c r="AM60" s="215"/>
      <c r="AN60" s="207"/>
      <c r="AO60" s="207"/>
      <c r="AP60" s="201"/>
      <c r="AQ60" s="201"/>
      <c r="AR60" s="201"/>
      <c r="AS60" s="206"/>
    </row>
    <row r="61" spans="1:47" ht="15.6" customHeight="1" x14ac:dyDescent="0.25">
      <c r="A61" s="211">
        <v>2</v>
      </c>
      <c r="B61" s="212" t="s">
        <v>123</v>
      </c>
      <c r="C61" s="78" t="s">
        <v>52</v>
      </c>
      <c r="D61" s="78" t="s">
        <v>52</v>
      </c>
      <c r="E61" s="78" t="s">
        <v>52</v>
      </c>
      <c r="F61" s="78" t="s">
        <v>52</v>
      </c>
      <c r="G61" s="78" t="s">
        <v>52</v>
      </c>
      <c r="H61" s="78" t="s">
        <v>52</v>
      </c>
      <c r="I61" s="78" t="s">
        <v>52</v>
      </c>
      <c r="J61" s="78" t="s">
        <v>52</v>
      </c>
      <c r="K61" s="78" t="s">
        <v>52</v>
      </c>
      <c r="L61" s="78" t="s">
        <v>52</v>
      </c>
      <c r="M61" s="78" t="s">
        <v>52</v>
      </c>
      <c r="N61" s="78" t="s">
        <v>52</v>
      </c>
      <c r="O61" s="78" t="s">
        <v>52</v>
      </c>
      <c r="P61" s="78" t="s">
        <v>52</v>
      </c>
      <c r="Q61" s="78" t="s">
        <v>52</v>
      </c>
      <c r="R61" s="78" t="s">
        <v>52</v>
      </c>
      <c r="S61" s="78" t="s">
        <v>52</v>
      </c>
      <c r="T61" s="78" t="s">
        <v>52</v>
      </c>
      <c r="U61" s="78" t="s">
        <v>52</v>
      </c>
      <c r="V61" s="78" t="s">
        <v>52</v>
      </c>
      <c r="W61" s="78" t="s">
        <v>52</v>
      </c>
      <c r="X61" s="78" t="s">
        <v>52</v>
      </c>
      <c r="Y61" s="78" t="s">
        <v>52</v>
      </c>
      <c r="Z61" s="78" t="s">
        <v>52</v>
      </c>
      <c r="AA61" s="78" t="s">
        <v>52</v>
      </c>
      <c r="AB61" s="79" t="s">
        <v>41</v>
      </c>
      <c r="AC61" s="79" t="s">
        <v>41</v>
      </c>
      <c r="AD61" s="79" t="s">
        <v>41</v>
      </c>
      <c r="AE61" s="79" t="s">
        <v>41</v>
      </c>
      <c r="AF61" s="79" t="s">
        <v>41</v>
      </c>
      <c r="AG61" s="80" t="s">
        <v>41</v>
      </c>
      <c r="AH61" s="213">
        <f>COUNTIF(B61:AG61,"P")</f>
        <v>6</v>
      </c>
      <c r="AI61" s="213">
        <f t="shared" ref="AI61" si="58">COUNTIF(C61:AG61,"P/2")</f>
        <v>0</v>
      </c>
      <c r="AJ61" s="214">
        <f t="shared" si="57"/>
        <v>12</v>
      </c>
      <c r="AK61" s="215"/>
      <c r="AL61" s="215">
        <f>AK61*AI61/2</f>
        <v>0</v>
      </c>
      <c r="AM61" s="215">
        <f>AH61*AK61+AL61</f>
        <v>0</v>
      </c>
      <c r="AN61" s="207">
        <f>AJ61/8*AK61</f>
        <v>0</v>
      </c>
      <c r="AO61" s="207">
        <f t="shared" ref="AO61" si="59">AM61+AN61</f>
        <v>0</v>
      </c>
      <c r="AP61" s="199">
        <v>35000</v>
      </c>
      <c r="AQ61" s="199">
        <f t="shared" ref="AQ61" si="60">AP61/28</f>
        <v>1250</v>
      </c>
      <c r="AR61" s="199">
        <f t="shared" ref="AR61" si="61">AH61*AQ61</f>
        <v>7500</v>
      </c>
      <c r="AS61" s="71"/>
    </row>
    <row r="62" spans="1:47" ht="15.6" customHeight="1" x14ac:dyDescent="0.25">
      <c r="A62" s="211"/>
      <c r="B62" s="212"/>
      <c r="C62" s="78"/>
      <c r="D62" s="79"/>
      <c r="E62" s="80"/>
      <c r="F62" s="79"/>
      <c r="G62" s="79"/>
      <c r="H62" s="79"/>
      <c r="I62" s="78"/>
      <c r="J62" s="79"/>
      <c r="K62" s="79"/>
      <c r="L62" s="80"/>
      <c r="M62" s="79"/>
      <c r="N62" s="79"/>
      <c r="O62" s="79"/>
      <c r="P62" s="79"/>
      <c r="Q62" s="79"/>
      <c r="R62" s="79"/>
      <c r="S62" s="80"/>
      <c r="T62" s="79"/>
      <c r="U62" s="79"/>
      <c r="V62" s="79"/>
      <c r="W62" s="79"/>
      <c r="X62" s="79"/>
      <c r="Y62" s="79"/>
      <c r="Z62" s="80"/>
      <c r="AA62" s="79"/>
      <c r="AB62" s="79">
        <v>3</v>
      </c>
      <c r="AC62" s="79"/>
      <c r="AD62" s="79">
        <v>3</v>
      </c>
      <c r="AE62" s="79">
        <v>3</v>
      </c>
      <c r="AF62" s="79">
        <v>3</v>
      </c>
      <c r="AG62" s="80"/>
      <c r="AH62" s="213"/>
      <c r="AI62" s="213"/>
      <c r="AJ62" s="214"/>
      <c r="AK62" s="215"/>
      <c r="AL62" s="215"/>
      <c r="AM62" s="215"/>
      <c r="AN62" s="207"/>
      <c r="AO62" s="207"/>
      <c r="AP62" s="200"/>
      <c r="AQ62" s="200"/>
      <c r="AR62" s="200"/>
      <c r="AS62" s="71"/>
    </row>
    <row r="63" spans="1:47" ht="15.6" customHeight="1" x14ac:dyDescent="0.25">
      <c r="A63" s="211"/>
      <c r="B63" s="212"/>
      <c r="C63" s="78"/>
      <c r="D63" s="79"/>
      <c r="E63" s="80"/>
      <c r="F63" s="79"/>
      <c r="G63" s="79"/>
      <c r="H63" s="79"/>
      <c r="I63" s="78"/>
      <c r="J63" s="79"/>
      <c r="K63" s="79"/>
      <c r="L63" s="80"/>
      <c r="M63" s="79"/>
      <c r="N63" s="79"/>
      <c r="O63" s="79"/>
      <c r="P63" s="79"/>
      <c r="Q63" s="79"/>
      <c r="R63" s="79"/>
      <c r="S63" s="80"/>
      <c r="T63" s="79"/>
      <c r="U63" s="79"/>
      <c r="V63" s="79"/>
      <c r="W63" s="79"/>
      <c r="X63" s="79"/>
      <c r="Y63" s="79"/>
      <c r="Z63" s="80"/>
      <c r="AA63" s="79"/>
      <c r="AB63" s="79"/>
      <c r="AC63" s="79"/>
      <c r="AD63" s="79"/>
      <c r="AE63" s="79"/>
      <c r="AF63" s="79"/>
      <c r="AG63" s="80"/>
      <c r="AH63" s="213"/>
      <c r="AI63" s="213"/>
      <c r="AJ63" s="214"/>
      <c r="AK63" s="215"/>
      <c r="AL63" s="215"/>
      <c r="AM63" s="215"/>
      <c r="AN63" s="207"/>
      <c r="AO63" s="207"/>
      <c r="AP63" s="201"/>
      <c r="AQ63" s="201"/>
      <c r="AR63" s="201"/>
      <c r="AS63" s="71"/>
    </row>
    <row r="64" spans="1:47" ht="15.6" customHeight="1" x14ac:dyDescent="0.25">
      <c r="A64" s="211">
        <v>3</v>
      </c>
      <c r="B64" s="212" t="s">
        <v>124</v>
      </c>
      <c r="C64" s="78" t="s">
        <v>52</v>
      </c>
      <c r="D64" s="78" t="s">
        <v>52</v>
      </c>
      <c r="E64" s="78" t="s">
        <v>52</v>
      </c>
      <c r="F64" s="78" t="s">
        <v>52</v>
      </c>
      <c r="G64" s="78" t="s">
        <v>52</v>
      </c>
      <c r="H64" s="78" t="s">
        <v>52</v>
      </c>
      <c r="I64" s="78" t="s">
        <v>52</v>
      </c>
      <c r="J64" s="78" t="s">
        <v>52</v>
      </c>
      <c r="K64" s="78" t="s">
        <v>52</v>
      </c>
      <c r="L64" s="78" t="s">
        <v>52</v>
      </c>
      <c r="M64" s="78" t="s">
        <v>52</v>
      </c>
      <c r="N64" s="78" t="s">
        <v>52</v>
      </c>
      <c r="O64" s="78" t="s">
        <v>52</v>
      </c>
      <c r="P64" s="78" t="s">
        <v>52</v>
      </c>
      <c r="Q64" s="78" t="s">
        <v>52</v>
      </c>
      <c r="R64" s="78" t="s">
        <v>52</v>
      </c>
      <c r="S64" s="78" t="s">
        <v>52</v>
      </c>
      <c r="T64" s="78" t="s">
        <v>52</v>
      </c>
      <c r="U64" s="78" t="s">
        <v>52</v>
      </c>
      <c r="V64" s="78" t="s">
        <v>52</v>
      </c>
      <c r="W64" s="78" t="s">
        <v>41</v>
      </c>
      <c r="X64" s="78" t="s">
        <v>41</v>
      </c>
      <c r="Y64" s="78" t="s">
        <v>41</v>
      </c>
      <c r="Z64" s="80" t="s">
        <v>41</v>
      </c>
      <c r="AA64" s="79" t="s">
        <v>41</v>
      </c>
      <c r="AB64" s="79" t="s">
        <v>41</v>
      </c>
      <c r="AC64" s="79" t="s">
        <v>41</v>
      </c>
      <c r="AD64" s="79" t="s">
        <v>41</v>
      </c>
      <c r="AE64" s="79" t="s">
        <v>41</v>
      </c>
      <c r="AF64" s="79" t="s">
        <v>41</v>
      </c>
      <c r="AG64" s="80" t="s">
        <v>52</v>
      </c>
      <c r="AH64" s="213">
        <f>COUNTIF(B64:AG64,"P")</f>
        <v>10</v>
      </c>
      <c r="AI64" s="213">
        <f t="shared" ref="AI64" si="62">COUNTIF(C64:AG64,"P/2")</f>
        <v>0</v>
      </c>
      <c r="AJ64" s="214">
        <f t="shared" si="57"/>
        <v>18</v>
      </c>
      <c r="AK64" s="215"/>
      <c r="AL64" s="215">
        <f>AK64*AI64/2</f>
        <v>0</v>
      </c>
      <c r="AM64" s="215">
        <f>AH64*AK64+AL64</f>
        <v>0</v>
      </c>
      <c r="AN64" s="207">
        <f>AJ64/8*AK64</f>
        <v>0</v>
      </c>
      <c r="AO64" s="207">
        <f t="shared" ref="AO64" si="63">AM64+AN64</f>
        <v>0</v>
      </c>
      <c r="AP64" s="199">
        <v>35000</v>
      </c>
      <c r="AQ64" s="199">
        <f t="shared" ref="AQ64" si="64">AP64/28</f>
        <v>1250</v>
      </c>
      <c r="AR64" s="199">
        <f t="shared" ref="AR64" si="65">AH64*AQ64</f>
        <v>12500</v>
      </c>
      <c r="AS64" s="71"/>
    </row>
    <row r="65" spans="1:45" ht="15.6" customHeight="1" x14ac:dyDescent="0.25">
      <c r="A65" s="211"/>
      <c r="B65" s="212"/>
      <c r="C65" s="78"/>
      <c r="D65" s="79"/>
      <c r="E65" s="80"/>
      <c r="F65" s="79"/>
      <c r="G65" s="79"/>
      <c r="H65" s="79"/>
      <c r="I65" s="78"/>
      <c r="J65" s="79"/>
      <c r="K65" s="79"/>
      <c r="L65" s="80"/>
      <c r="M65" s="79"/>
      <c r="N65" s="79"/>
      <c r="O65" s="79"/>
      <c r="P65" s="79"/>
      <c r="Q65" s="79"/>
      <c r="R65" s="79"/>
      <c r="S65" s="80"/>
      <c r="T65" s="79"/>
      <c r="U65" s="79"/>
      <c r="V65" s="79"/>
      <c r="W65" s="79"/>
      <c r="X65" s="79"/>
      <c r="Y65" s="79"/>
      <c r="Z65" s="80">
        <v>3</v>
      </c>
      <c r="AA65" s="79">
        <v>2</v>
      </c>
      <c r="AB65" s="79">
        <v>2</v>
      </c>
      <c r="AC65" s="79">
        <v>2</v>
      </c>
      <c r="AD65" s="79">
        <v>3</v>
      </c>
      <c r="AE65" s="79">
        <v>2</v>
      </c>
      <c r="AF65" s="79">
        <v>4</v>
      </c>
      <c r="AG65" s="80"/>
      <c r="AH65" s="213"/>
      <c r="AI65" s="213"/>
      <c r="AJ65" s="214"/>
      <c r="AK65" s="215"/>
      <c r="AL65" s="215"/>
      <c r="AM65" s="215"/>
      <c r="AN65" s="207"/>
      <c r="AO65" s="207"/>
      <c r="AP65" s="200"/>
      <c r="AQ65" s="200"/>
      <c r="AR65" s="200"/>
      <c r="AS65" s="71"/>
    </row>
    <row r="66" spans="1:45" ht="15.6" customHeight="1" x14ac:dyDescent="0.25">
      <c r="A66" s="211"/>
      <c r="B66" s="212"/>
      <c r="C66" s="78"/>
      <c r="D66" s="79"/>
      <c r="E66" s="80"/>
      <c r="F66" s="79"/>
      <c r="G66" s="79"/>
      <c r="H66" s="79"/>
      <c r="I66" s="78"/>
      <c r="J66" s="79"/>
      <c r="K66" s="79"/>
      <c r="L66" s="80"/>
      <c r="M66" s="79"/>
      <c r="N66" s="79"/>
      <c r="O66" s="79"/>
      <c r="P66" s="79"/>
      <c r="Q66" s="79"/>
      <c r="R66" s="79"/>
      <c r="S66" s="80"/>
      <c r="T66" s="79"/>
      <c r="U66" s="79"/>
      <c r="V66" s="79"/>
      <c r="W66" s="79"/>
      <c r="X66" s="79"/>
      <c r="Y66" s="79"/>
      <c r="Z66" s="80"/>
      <c r="AA66" s="79"/>
      <c r="AB66" s="79"/>
      <c r="AC66" s="79"/>
      <c r="AD66" s="79"/>
      <c r="AE66" s="79"/>
      <c r="AF66" s="79"/>
      <c r="AG66" s="80"/>
      <c r="AH66" s="213"/>
      <c r="AI66" s="213"/>
      <c r="AJ66" s="214"/>
      <c r="AK66" s="215"/>
      <c r="AL66" s="215"/>
      <c r="AM66" s="215"/>
      <c r="AN66" s="207"/>
      <c r="AO66" s="207"/>
      <c r="AP66" s="201"/>
      <c r="AQ66" s="201"/>
      <c r="AR66" s="201"/>
      <c r="AS66" s="71"/>
    </row>
    <row r="67" spans="1:45" ht="15.6" customHeight="1" x14ac:dyDescent="0.25">
      <c r="A67" s="211">
        <v>4</v>
      </c>
      <c r="B67" s="212" t="s">
        <v>125</v>
      </c>
      <c r="C67" s="78" t="s">
        <v>52</v>
      </c>
      <c r="D67" s="78" t="s">
        <v>41</v>
      </c>
      <c r="E67" s="81" t="s">
        <v>41</v>
      </c>
      <c r="F67" s="78" t="s">
        <v>41</v>
      </c>
      <c r="G67" s="78" t="s">
        <v>41</v>
      </c>
      <c r="H67" s="78" t="s">
        <v>41</v>
      </c>
      <c r="I67" s="78" t="s">
        <v>41</v>
      </c>
      <c r="J67" s="78" t="s">
        <v>41</v>
      </c>
      <c r="K67" s="78" t="s">
        <v>41</v>
      </c>
      <c r="L67" s="81" t="s">
        <v>41</v>
      </c>
      <c r="M67" s="79" t="s">
        <v>41</v>
      </c>
      <c r="N67" s="79" t="s">
        <v>41</v>
      </c>
      <c r="O67" s="79" t="s">
        <v>41</v>
      </c>
      <c r="P67" s="79" t="s">
        <v>41</v>
      </c>
      <c r="Q67" s="79" t="s">
        <v>41</v>
      </c>
      <c r="R67" s="79" t="s">
        <v>41</v>
      </c>
      <c r="S67" s="80" t="s">
        <v>41</v>
      </c>
      <c r="T67" s="79" t="s">
        <v>41</v>
      </c>
      <c r="U67" s="79" t="s">
        <v>41</v>
      </c>
      <c r="V67" s="79" t="s">
        <v>41</v>
      </c>
      <c r="W67" s="79" t="s">
        <v>41</v>
      </c>
      <c r="X67" s="79" t="s">
        <v>52</v>
      </c>
      <c r="Y67" s="79" t="s">
        <v>41</v>
      </c>
      <c r="Z67" s="80" t="s">
        <v>52</v>
      </c>
      <c r="AA67" s="79" t="s">
        <v>41</v>
      </c>
      <c r="AB67" s="79" t="s">
        <v>41</v>
      </c>
      <c r="AC67" s="79" t="s">
        <v>41</v>
      </c>
      <c r="AD67" s="79" t="s">
        <v>41</v>
      </c>
      <c r="AE67" s="79" t="s">
        <v>41</v>
      </c>
      <c r="AF67" s="79" t="s">
        <v>41</v>
      </c>
      <c r="AG67" s="80" t="s">
        <v>41</v>
      </c>
      <c r="AH67" s="213">
        <f>COUNTIF(B67:AG67,"P")</f>
        <v>28</v>
      </c>
      <c r="AI67" s="213">
        <f t="shared" ref="AI67" si="66">COUNTIF(C67:AG67,"P/2")</f>
        <v>0</v>
      </c>
      <c r="AJ67" s="214">
        <f t="shared" si="57"/>
        <v>73</v>
      </c>
      <c r="AK67" s="215"/>
      <c r="AL67" s="215">
        <f t="shared" ref="AL67" si="67">AK67*AI67/2</f>
        <v>0</v>
      </c>
      <c r="AM67" s="215">
        <f t="shared" ref="AM67" si="68">AH67*AK67+AL67</f>
        <v>0</v>
      </c>
      <c r="AN67" s="207">
        <f t="shared" ref="AN67" si="69">AJ67/8*AK67</f>
        <v>0</v>
      </c>
      <c r="AO67" s="207">
        <f t="shared" ref="AO67" si="70">AM67+AN67</f>
        <v>0</v>
      </c>
      <c r="AP67" s="199">
        <v>32000</v>
      </c>
      <c r="AQ67" s="199">
        <f t="shared" ref="AQ67" si="71">AP67/28</f>
        <v>1142.8571428571429</v>
      </c>
      <c r="AR67" s="199">
        <f t="shared" ref="AR67" si="72">AH67*AQ67</f>
        <v>32000</v>
      </c>
      <c r="AS67" s="71"/>
    </row>
    <row r="68" spans="1:45" ht="15.6" customHeight="1" x14ac:dyDescent="0.25">
      <c r="A68" s="211"/>
      <c r="B68" s="212"/>
      <c r="C68" s="78"/>
      <c r="D68" s="79"/>
      <c r="E68" s="80">
        <v>2</v>
      </c>
      <c r="F68" s="79">
        <v>3</v>
      </c>
      <c r="G68" s="79">
        <v>3</v>
      </c>
      <c r="H68" s="79">
        <v>3</v>
      </c>
      <c r="I68" s="78">
        <v>3</v>
      </c>
      <c r="J68" s="79">
        <v>3</v>
      </c>
      <c r="K68" s="79">
        <v>3</v>
      </c>
      <c r="L68" s="80">
        <v>2</v>
      </c>
      <c r="M68" s="79">
        <v>3</v>
      </c>
      <c r="N68" s="79">
        <v>3</v>
      </c>
      <c r="O68" s="79">
        <v>3</v>
      </c>
      <c r="P68" s="79">
        <v>2</v>
      </c>
      <c r="Q68" s="79">
        <v>3</v>
      </c>
      <c r="R68" s="79">
        <v>3</v>
      </c>
      <c r="S68" s="80">
        <v>2</v>
      </c>
      <c r="T68" s="79">
        <v>3</v>
      </c>
      <c r="U68" s="79">
        <v>3</v>
      </c>
      <c r="V68" s="79">
        <v>2</v>
      </c>
      <c r="W68" s="79">
        <v>4</v>
      </c>
      <c r="X68" s="79"/>
      <c r="Y68" s="79">
        <v>2</v>
      </c>
      <c r="Z68" s="80"/>
      <c r="AA68" s="79">
        <v>3</v>
      </c>
      <c r="AB68" s="79">
        <v>3</v>
      </c>
      <c r="AC68" s="79"/>
      <c r="AD68" s="79">
        <v>3</v>
      </c>
      <c r="AE68" s="79">
        <v>3</v>
      </c>
      <c r="AF68" s="79">
        <v>3</v>
      </c>
      <c r="AG68" s="80">
        <v>3</v>
      </c>
      <c r="AH68" s="213"/>
      <c r="AI68" s="213"/>
      <c r="AJ68" s="214"/>
      <c r="AK68" s="215"/>
      <c r="AL68" s="215"/>
      <c r="AM68" s="215"/>
      <c r="AN68" s="207"/>
      <c r="AO68" s="207"/>
      <c r="AP68" s="200"/>
      <c r="AQ68" s="200"/>
      <c r="AR68" s="200"/>
      <c r="AS68" s="71"/>
    </row>
    <row r="69" spans="1:45" ht="15.6" customHeight="1" x14ac:dyDescent="0.25">
      <c r="A69" s="211"/>
      <c r="B69" s="212"/>
      <c r="C69" s="78"/>
      <c r="D69" s="79"/>
      <c r="E69" s="80"/>
      <c r="F69" s="79"/>
      <c r="G69" s="79"/>
      <c r="H69" s="79"/>
      <c r="I69" s="78"/>
      <c r="J69" s="79"/>
      <c r="K69" s="79"/>
      <c r="L69" s="80"/>
      <c r="M69" s="79"/>
      <c r="N69" s="79"/>
      <c r="O69" s="79"/>
      <c r="P69" s="79"/>
      <c r="Q69" s="79"/>
      <c r="R69" s="79"/>
      <c r="S69" s="80"/>
      <c r="T69" s="79"/>
      <c r="U69" s="79"/>
      <c r="V69" s="79"/>
      <c r="W69" s="79"/>
      <c r="X69" s="79"/>
      <c r="Y69" s="79"/>
      <c r="Z69" s="80"/>
      <c r="AA69" s="79"/>
      <c r="AB69" s="79"/>
      <c r="AC69" s="79"/>
      <c r="AD69" s="79"/>
      <c r="AE69" s="79"/>
      <c r="AF69" s="79"/>
      <c r="AG69" s="80"/>
      <c r="AH69" s="213"/>
      <c r="AI69" s="213"/>
      <c r="AJ69" s="214"/>
      <c r="AK69" s="215"/>
      <c r="AL69" s="215"/>
      <c r="AM69" s="215"/>
      <c r="AN69" s="207"/>
      <c r="AO69" s="207"/>
      <c r="AP69" s="201"/>
      <c r="AQ69" s="201"/>
      <c r="AR69" s="201"/>
      <c r="AS69" s="71"/>
    </row>
    <row r="70" spans="1:45" ht="15.6" customHeight="1" x14ac:dyDescent="0.25">
      <c r="A70" s="211">
        <v>5</v>
      </c>
      <c r="B70" s="212" t="s">
        <v>126</v>
      </c>
      <c r="C70" s="82" t="s">
        <v>52</v>
      </c>
      <c r="D70" s="82" t="s">
        <v>52</v>
      </c>
      <c r="E70" s="82" t="s">
        <v>52</v>
      </c>
      <c r="F70" s="82" t="s">
        <v>52</v>
      </c>
      <c r="G70" s="82" t="s">
        <v>52</v>
      </c>
      <c r="H70" s="82" t="s">
        <v>52</v>
      </c>
      <c r="I70" s="82" t="s">
        <v>52</v>
      </c>
      <c r="J70" s="82" t="s">
        <v>52</v>
      </c>
      <c r="K70" s="82" t="s">
        <v>52</v>
      </c>
      <c r="L70" s="82" t="s">
        <v>52</v>
      </c>
      <c r="M70" s="82" t="s">
        <v>52</v>
      </c>
      <c r="N70" s="82" t="s">
        <v>52</v>
      </c>
      <c r="O70" s="82" t="s">
        <v>52</v>
      </c>
      <c r="P70" s="82" t="s">
        <v>52</v>
      </c>
      <c r="Q70" s="82" t="s">
        <v>52</v>
      </c>
      <c r="R70" s="82" t="s">
        <v>52</v>
      </c>
      <c r="S70" s="82" t="s">
        <v>52</v>
      </c>
      <c r="T70" s="82" t="s">
        <v>52</v>
      </c>
      <c r="U70" s="82" t="s">
        <v>52</v>
      </c>
      <c r="V70" s="82" t="s">
        <v>52</v>
      </c>
      <c r="W70" s="82" t="s">
        <v>41</v>
      </c>
      <c r="X70" s="82" t="s">
        <v>41</v>
      </c>
      <c r="Y70" s="82" t="s">
        <v>41</v>
      </c>
      <c r="Z70" s="80" t="s">
        <v>41</v>
      </c>
      <c r="AA70" s="79" t="s">
        <v>41</v>
      </c>
      <c r="AB70" s="79" t="s">
        <v>41</v>
      </c>
      <c r="AC70" s="79" t="s">
        <v>41</v>
      </c>
      <c r="AD70" s="79" t="s">
        <v>41</v>
      </c>
      <c r="AE70" s="79" t="s">
        <v>41</v>
      </c>
      <c r="AF70" s="79" t="s">
        <v>41</v>
      </c>
      <c r="AG70" s="80" t="s">
        <v>52</v>
      </c>
      <c r="AH70" s="213">
        <f>COUNTIF(B70:AG70,"P")</f>
        <v>10</v>
      </c>
      <c r="AI70" s="213">
        <f t="shared" ref="AI70" si="73">COUNTIF(C70:AG70,"P/2")</f>
        <v>0</v>
      </c>
      <c r="AJ70" s="214">
        <f t="shared" si="57"/>
        <v>18</v>
      </c>
      <c r="AK70" s="215"/>
      <c r="AL70" s="215">
        <f>AK70*AI70/2</f>
        <v>0</v>
      </c>
      <c r="AM70" s="215">
        <f>AH70*AK70+AL70</f>
        <v>0</v>
      </c>
      <c r="AN70" s="207">
        <f>AJ70/8*AK70</f>
        <v>0</v>
      </c>
      <c r="AO70" s="207">
        <f t="shared" ref="AO70" si="74">AM70+AN70</f>
        <v>0</v>
      </c>
      <c r="AP70" s="199">
        <v>32000</v>
      </c>
      <c r="AQ70" s="199">
        <f t="shared" ref="AQ70" si="75">AP70/28</f>
        <v>1142.8571428571429</v>
      </c>
      <c r="AR70" s="199">
        <f t="shared" ref="AR70" si="76">AH70*AQ70</f>
        <v>11428.571428571429</v>
      </c>
      <c r="AS70" s="71"/>
    </row>
    <row r="71" spans="1:45" ht="15.6" customHeight="1" x14ac:dyDescent="0.25">
      <c r="A71" s="211"/>
      <c r="B71" s="212"/>
      <c r="C71" s="78"/>
      <c r="D71" s="79"/>
      <c r="E71" s="80"/>
      <c r="F71" s="79"/>
      <c r="G71" s="79"/>
      <c r="H71" s="79"/>
      <c r="I71" s="78"/>
      <c r="J71" s="79"/>
      <c r="K71" s="79"/>
      <c r="L71" s="80"/>
      <c r="M71" s="79"/>
      <c r="N71" s="79"/>
      <c r="O71" s="79"/>
      <c r="P71" s="79"/>
      <c r="Q71" s="79"/>
      <c r="R71" s="79"/>
      <c r="S71" s="80"/>
      <c r="T71" s="79"/>
      <c r="U71" s="79"/>
      <c r="V71" s="79"/>
      <c r="W71" s="79"/>
      <c r="X71" s="79"/>
      <c r="Y71" s="79"/>
      <c r="Z71" s="80">
        <v>3</v>
      </c>
      <c r="AA71" s="79">
        <v>2</v>
      </c>
      <c r="AB71" s="79">
        <v>2</v>
      </c>
      <c r="AC71" s="79">
        <v>2</v>
      </c>
      <c r="AD71" s="79">
        <v>3</v>
      </c>
      <c r="AE71" s="79">
        <v>2</v>
      </c>
      <c r="AF71" s="79">
        <v>4</v>
      </c>
      <c r="AG71" s="80"/>
      <c r="AH71" s="213"/>
      <c r="AI71" s="213"/>
      <c r="AJ71" s="214"/>
      <c r="AK71" s="215"/>
      <c r="AL71" s="215"/>
      <c r="AM71" s="215"/>
      <c r="AN71" s="207"/>
      <c r="AO71" s="207"/>
      <c r="AP71" s="200"/>
      <c r="AQ71" s="200"/>
      <c r="AR71" s="200"/>
      <c r="AS71" s="71"/>
    </row>
    <row r="72" spans="1:45" ht="15.6" customHeight="1" x14ac:dyDescent="0.25">
      <c r="A72" s="211"/>
      <c r="B72" s="212"/>
      <c r="C72" s="78"/>
      <c r="D72" s="79"/>
      <c r="E72" s="80"/>
      <c r="F72" s="79"/>
      <c r="G72" s="79"/>
      <c r="H72" s="79"/>
      <c r="I72" s="78"/>
      <c r="J72" s="79"/>
      <c r="K72" s="79"/>
      <c r="L72" s="80"/>
      <c r="M72" s="79"/>
      <c r="N72" s="79"/>
      <c r="O72" s="79"/>
      <c r="P72" s="79"/>
      <c r="Q72" s="79"/>
      <c r="R72" s="79"/>
      <c r="S72" s="80"/>
      <c r="T72" s="79"/>
      <c r="U72" s="79"/>
      <c r="V72" s="79"/>
      <c r="W72" s="79"/>
      <c r="X72" s="79"/>
      <c r="Y72" s="79"/>
      <c r="Z72" s="80"/>
      <c r="AA72" s="79"/>
      <c r="AB72" s="79"/>
      <c r="AC72" s="79"/>
      <c r="AD72" s="79"/>
      <c r="AE72" s="79"/>
      <c r="AF72" s="79"/>
      <c r="AG72" s="80"/>
      <c r="AH72" s="213"/>
      <c r="AI72" s="213"/>
      <c r="AJ72" s="214"/>
      <c r="AK72" s="215"/>
      <c r="AL72" s="215"/>
      <c r="AM72" s="215"/>
      <c r="AN72" s="207"/>
      <c r="AO72" s="207"/>
      <c r="AP72" s="201"/>
      <c r="AQ72" s="201"/>
      <c r="AR72" s="201"/>
      <c r="AS72" s="71"/>
    </row>
    <row r="73" spans="1:45" ht="15.6" customHeight="1" x14ac:dyDescent="0.25">
      <c r="A73" s="211">
        <v>6</v>
      </c>
      <c r="B73" s="212" t="s">
        <v>127</v>
      </c>
      <c r="C73" s="97" t="s">
        <v>52</v>
      </c>
      <c r="D73" s="97" t="s">
        <v>52</v>
      </c>
      <c r="E73" s="97" t="s">
        <v>52</v>
      </c>
      <c r="F73" s="97" t="s">
        <v>52</v>
      </c>
      <c r="G73" s="97" t="s">
        <v>52</v>
      </c>
      <c r="H73" s="97" t="s">
        <v>52</v>
      </c>
      <c r="I73" s="97" t="s">
        <v>52</v>
      </c>
      <c r="J73" s="97" t="s">
        <v>52</v>
      </c>
      <c r="K73" s="97" t="s">
        <v>52</v>
      </c>
      <c r="L73" s="97" t="s">
        <v>52</v>
      </c>
      <c r="M73" s="97" t="s">
        <v>52</v>
      </c>
      <c r="N73" s="97" t="s">
        <v>52</v>
      </c>
      <c r="O73" s="97" t="s">
        <v>52</v>
      </c>
      <c r="P73" s="97" t="s">
        <v>52</v>
      </c>
      <c r="Q73" s="97" t="s">
        <v>52</v>
      </c>
      <c r="R73" s="97" t="s">
        <v>52</v>
      </c>
      <c r="S73" s="97" t="s">
        <v>52</v>
      </c>
      <c r="T73" s="97" t="s">
        <v>52</v>
      </c>
      <c r="U73" s="97" t="s">
        <v>52</v>
      </c>
      <c r="V73" s="97" t="s">
        <v>52</v>
      </c>
      <c r="W73" s="97" t="s">
        <v>52</v>
      </c>
      <c r="X73" s="97" t="s">
        <v>52</v>
      </c>
      <c r="Y73" s="97" t="s">
        <v>52</v>
      </c>
      <c r="Z73" s="97" t="s">
        <v>52</v>
      </c>
      <c r="AA73" s="97" t="s">
        <v>52</v>
      </c>
      <c r="AB73" s="79" t="s">
        <v>41</v>
      </c>
      <c r="AC73" s="79" t="s">
        <v>41</v>
      </c>
      <c r="AD73" s="79" t="s">
        <v>41</v>
      </c>
      <c r="AE73" s="79" t="s">
        <v>41</v>
      </c>
      <c r="AF73" s="79" t="s">
        <v>41</v>
      </c>
      <c r="AG73" s="80" t="s">
        <v>41</v>
      </c>
      <c r="AH73" s="213">
        <f>COUNTIF(B73:AG73,"P")</f>
        <v>6</v>
      </c>
      <c r="AI73" s="213">
        <f t="shared" ref="AI73" si="77">COUNTIF(C73:AG73,"P/2")</f>
        <v>0</v>
      </c>
      <c r="AJ73" s="214">
        <f t="shared" si="57"/>
        <v>12</v>
      </c>
      <c r="AK73" s="215"/>
      <c r="AL73" s="215">
        <f>AK73*AI73/2</f>
        <v>0</v>
      </c>
      <c r="AM73" s="215">
        <f>AH73*AK73+AL73</f>
        <v>0</v>
      </c>
      <c r="AN73" s="207">
        <f>AJ73/8*AK73</f>
        <v>0</v>
      </c>
      <c r="AO73" s="207">
        <f t="shared" ref="AO73" si="78">AM73+AN73</f>
        <v>0</v>
      </c>
      <c r="AP73" s="199">
        <v>32000</v>
      </c>
      <c r="AQ73" s="199">
        <f t="shared" ref="AQ73" si="79">AP73/28</f>
        <v>1142.8571428571429</v>
      </c>
      <c r="AR73" s="199">
        <f t="shared" ref="AR73" si="80">AH73*AQ73</f>
        <v>6857.1428571428569</v>
      </c>
      <c r="AS73" s="71"/>
    </row>
    <row r="74" spans="1:45" ht="15.6" customHeight="1" x14ac:dyDescent="0.25">
      <c r="A74" s="211"/>
      <c r="B74" s="212"/>
      <c r="C74" s="78"/>
      <c r="D74" s="79"/>
      <c r="E74" s="80"/>
      <c r="F74" s="79"/>
      <c r="G74" s="79"/>
      <c r="H74" s="79"/>
      <c r="I74" s="78"/>
      <c r="J74" s="79"/>
      <c r="K74" s="79"/>
      <c r="L74" s="80"/>
      <c r="M74" s="79"/>
      <c r="N74" s="79"/>
      <c r="O74" s="79"/>
      <c r="P74" s="79"/>
      <c r="Q74" s="79"/>
      <c r="R74" s="79"/>
      <c r="S74" s="80"/>
      <c r="T74" s="79"/>
      <c r="U74" s="79"/>
      <c r="V74" s="79"/>
      <c r="W74" s="79"/>
      <c r="X74" s="79"/>
      <c r="Y74" s="79"/>
      <c r="Z74" s="80"/>
      <c r="AA74" s="79"/>
      <c r="AB74" s="79">
        <v>3</v>
      </c>
      <c r="AC74" s="79"/>
      <c r="AD74" s="79">
        <v>3</v>
      </c>
      <c r="AE74" s="79">
        <v>3</v>
      </c>
      <c r="AF74" s="79">
        <v>3</v>
      </c>
      <c r="AG74" s="80"/>
      <c r="AH74" s="213"/>
      <c r="AI74" s="213"/>
      <c r="AJ74" s="214"/>
      <c r="AK74" s="215"/>
      <c r="AL74" s="215"/>
      <c r="AM74" s="215"/>
      <c r="AN74" s="207"/>
      <c r="AO74" s="207"/>
      <c r="AP74" s="200"/>
      <c r="AQ74" s="200"/>
      <c r="AR74" s="200"/>
      <c r="AS74" s="71"/>
    </row>
    <row r="75" spans="1:45" ht="15.6" customHeight="1" x14ac:dyDescent="0.25">
      <c r="A75" s="211"/>
      <c r="B75" s="212"/>
      <c r="C75" s="78"/>
      <c r="D75" s="79"/>
      <c r="E75" s="80"/>
      <c r="F75" s="79"/>
      <c r="G75" s="79"/>
      <c r="H75" s="79"/>
      <c r="I75" s="78"/>
      <c r="J75" s="79"/>
      <c r="K75" s="79"/>
      <c r="L75" s="80"/>
      <c r="M75" s="79"/>
      <c r="N75" s="79"/>
      <c r="O75" s="79"/>
      <c r="P75" s="79"/>
      <c r="Q75" s="79"/>
      <c r="R75" s="79"/>
      <c r="S75" s="80"/>
      <c r="T75" s="79"/>
      <c r="U75" s="79"/>
      <c r="V75" s="79"/>
      <c r="W75" s="79"/>
      <c r="X75" s="79"/>
      <c r="Y75" s="79"/>
      <c r="Z75" s="80"/>
      <c r="AA75" s="79"/>
      <c r="AB75" s="79"/>
      <c r="AC75" s="79"/>
      <c r="AD75" s="79"/>
      <c r="AE75" s="79"/>
      <c r="AF75" s="79"/>
      <c r="AG75" s="80"/>
      <c r="AH75" s="213"/>
      <c r="AI75" s="213"/>
      <c r="AJ75" s="214"/>
      <c r="AK75" s="215"/>
      <c r="AL75" s="215"/>
      <c r="AM75" s="215"/>
      <c r="AN75" s="207"/>
      <c r="AO75" s="207"/>
      <c r="AP75" s="201"/>
      <c r="AQ75" s="201"/>
      <c r="AR75" s="201"/>
      <c r="AS75" s="71"/>
    </row>
    <row r="76" spans="1:45" ht="15.6" customHeight="1" x14ac:dyDescent="0.25">
      <c r="A76" s="211">
        <v>7</v>
      </c>
      <c r="B76" s="212" t="s">
        <v>128</v>
      </c>
      <c r="C76" s="78" t="s">
        <v>52</v>
      </c>
      <c r="D76" s="78" t="s">
        <v>52</v>
      </c>
      <c r="E76" s="78" t="s">
        <v>52</v>
      </c>
      <c r="F76" s="78" t="s">
        <v>52</v>
      </c>
      <c r="G76" s="78" t="s">
        <v>52</v>
      </c>
      <c r="H76" s="78" t="s">
        <v>52</v>
      </c>
      <c r="I76" s="78" t="s">
        <v>52</v>
      </c>
      <c r="J76" s="78" t="s">
        <v>52</v>
      </c>
      <c r="K76" s="78" t="s">
        <v>52</v>
      </c>
      <c r="L76" s="78" t="s">
        <v>52</v>
      </c>
      <c r="M76" s="78" t="s">
        <v>52</v>
      </c>
      <c r="N76" s="78" t="s">
        <v>52</v>
      </c>
      <c r="O76" s="78" t="s">
        <v>52</v>
      </c>
      <c r="P76" s="78" t="s">
        <v>52</v>
      </c>
      <c r="Q76" s="78" t="s">
        <v>52</v>
      </c>
      <c r="R76" s="78" t="s">
        <v>52</v>
      </c>
      <c r="S76" s="78" t="s">
        <v>52</v>
      </c>
      <c r="T76" s="78" t="s">
        <v>52</v>
      </c>
      <c r="U76" s="78" t="s">
        <v>52</v>
      </c>
      <c r="V76" s="78" t="s">
        <v>52</v>
      </c>
      <c r="W76" s="78" t="s">
        <v>52</v>
      </c>
      <c r="X76" s="78" t="s">
        <v>52</v>
      </c>
      <c r="Y76" s="78" t="s">
        <v>52</v>
      </c>
      <c r="Z76" s="78" t="s">
        <v>52</v>
      </c>
      <c r="AA76" s="78" t="s">
        <v>52</v>
      </c>
      <c r="AB76" s="79" t="s">
        <v>41</v>
      </c>
      <c r="AC76" s="79" t="s">
        <v>41</v>
      </c>
      <c r="AD76" s="79" t="s">
        <v>41</v>
      </c>
      <c r="AE76" s="79" t="s">
        <v>41</v>
      </c>
      <c r="AF76" s="79" t="s">
        <v>41</v>
      </c>
      <c r="AG76" s="80" t="s">
        <v>41</v>
      </c>
      <c r="AH76" s="213">
        <f>COUNTIF(B76:AG76,"P")</f>
        <v>6</v>
      </c>
      <c r="AI76" s="213">
        <f t="shared" ref="AI76" si="81">COUNTIF(C76:AG76,"P/2")</f>
        <v>0</v>
      </c>
      <c r="AJ76" s="214">
        <f t="shared" si="57"/>
        <v>12</v>
      </c>
      <c r="AK76" s="215"/>
      <c r="AL76" s="215">
        <f>AK76*AI76/2</f>
        <v>0</v>
      </c>
      <c r="AM76" s="215">
        <f>AH76*AK76+AL76</f>
        <v>0</v>
      </c>
      <c r="AN76" s="207">
        <f>AJ76/8*AK76</f>
        <v>0</v>
      </c>
      <c r="AO76" s="207">
        <f t="shared" ref="AO76" si="82">AM76+AN76</f>
        <v>0</v>
      </c>
      <c r="AP76" s="199">
        <v>32000</v>
      </c>
      <c r="AQ76" s="199">
        <f t="shared" ref="AQ76" si="83">AP76/28</f>
        <v>1142.8571428571429</v>
      </c>
      <c r="AR76" s="199">
        <f t="shared" ref="AR76" si="84">AH76*AQ76</f>
        <v>6857.1428571428569</v>
      </c>
      <c r="AS76" s="71"/>
    </row>
    <row r="77" spans="1:45" ht="15.6" customHeight="1" x14ac:dyDescent="0.25">
      <c r="A77" s="211"/>
      <c r="B77" s="212"/>
      <c r="C77" s="78"/>
      <c r="D77" s="79"/>
      <c r="E77" s="80"/>
      <c r="F77" s="79"/>
      <c r="G77" s="79"/>
      <c r="H77" s="79"/>
      <c r="I77" s="78"/>
      <c r="J77" s="79"/>
      <c r="K77" s="79"/>
      <c r="L77" s="80"/>
      <c r="M77" s="79"/>
      <c r="N77" s="79"/>
      <c r="O77" s="79"/>
      <c r="P77" s="79"/>
      <c r="Q77" s="79"/>
      <c r="R77" s="79"/>
      <c r="S77" s="80"/>
      <c r="T77" s="79"/>
      <c r="U77" s="79"/>
      <c r="V77" s="79"/>
      <c r="W77" s="79"/>
      <c r="X77" s="79"/>
      <c r="Y77" s="79"/>
      <c r="Z77" s="80"/>
      <c r="AA77" s="79"/>
      <c r="AB77" s="79">
        <v>3</v>
      </c>
      <c r="AC77" s="79"/>
      <c r="AD77" s="79">
        <v>3</v>
      </c>
      <c r="AE77" s="79">
        <v>3</v>
      </c>
      <c r="AF77" s="79">
        <v>3</v>
      </c>
      <c r="AG77" s="80"/>
      <c r="AH77" s="213"/>
      <c r="AI77" s="213"/>
      <c r="AJ77" s="214"/>
      <c r="AK77" s="215"/>
      <c r="AL77" s="215"/>
      <c r="AM77" s="215"/>
      <c r="AN77" s="207"/>
      <c r="AO77" s="207"/>
      <c r="AP77" s="200"/>
      <c r="AQ77" s="200"/>
      <c r="AR77" s="200"/>
      <c r="AS77" s="71"/>
    </row>
    <row r="78" spans="1:45" ht="15.6" customHeight="1" x14ac:dyDescent="0.25">
      <c r="A78" s="211"/>
      <c r="B78" s="212"/>
      <c r="C78" s="78"/>
      <c r="D78" s="79"/>
      <c r="E78" s="80"/>
      <c r="F78" s="79"/>
      <c r="G78" s="79"/>
      <c r="H78" s="79"/>
      <c r="I78" s="78"/>
      <c r="J78" s="79"/>
      <c r="K78" s="79"/>
      <c r="L78" s="80"/>
      <c r="M78" s="79"/>
      <c r="N78" s="79"/>
      <c r="O78" s="79"/>
      <c r="P78" s="79"/>
      <c r="Q78" s="79"/>
      <c r="R78" s="79"/>
      <c r="S78" s="80"/>
      <c r="T78" s="79"/>
      <c r="U78" s="79"/>
      <c r="V78" s="79"/>
      <c r="W78" s="79"/>
      <c r="X78" s="79"/>
      <c r="Y78" s="79"/>
      <c r="Z78" s="80"/>
      <c r="AA78" s="79"/>
      <c r="AB78" s="79"/>
      <c r="AC78" s="79"/>
      <c r="AD78" s="79"/>
      <c r="AE78" s="79"/>
      <c r="AF78" s="79"/>
      <c r="AG78" s="80"/>
      <c r="AH78" s="213"/>
      <c r="AI78" s="213"/>
      <c r="AJ78" s="214"/>
      <c r="AK78" s="215"/>
      <c r="AL78" s="215"/>
      <c r="AM78" s="215"/>
      <c r="AN78" s="207"/>
      <c r="AO78" s="207"/>
      <c r="AP78" s="201"/>
      <c r="AQ78" s="201"/>
      <c r="AR78" s="201"/>
      <c r="AS78" s="71"/>
    </row>
    <row r="79" spans="1:45" ht="15.6" customHeight="1" x14ac:dyDescent="0.25">
      <c r="A79" s="211">
        <v>8</v>
      </c>
      <c r="B79" s="212" t="s">
        <v>129</v>
      </c>
      <c r="C79" s="78" t="s">
        <v>52</v>
      </c>
      <c r="D79" s="78" t="s">
        <v>41</v>
      </c>
      <c r="E79" s="81" t="s">
        <v>41</v>
      </c>
      <c r="F79" s="78" t="s">
        <v>41</v>
      </c>
      <c r="G79" s="78" t="s">
        <v>41</v>
      </c>
      <c r="H79" s="78" t="s">
        <v>41</v>
      </c>
      <c r="I79" s="78" t="s">
        <v>41</v>
      </c>
      <c r="J79" s="78" t="s">
        <v>41</v>
      </c>
      <c r="K79" s="78" t="s">
        <v>41</v>
      </c>
      <c r="L79" s="81" t="s">
        <v>41</v>
      </c>
      <c r="M79" s="78" t="s">
        <v>41</v>
      </c>
      <c r="N79" s="79" t="s">
        <v>41</v>
      </c>
      <c r="O79" s="79" t="s">
        <v>41</v>
      </c>
      <c r="P79" s="79" t="s">
        <v>41</v>
      </c>
      <c r="Q79" s="79" t="s">
        <v>41</v>
      </c>
      <c r="R79" s="79" t="s">
        <v>41</v>
      </c>
      <c r="S79" s="80" t="s">
        <v>41</v>
      </c>
      <c r="T79" s="79" t="s">
        <v>41</v>
      </c>
      <c r="U79" s="79" t="s">
        <v>41</v>
      </c>
      <c r="V79" s="79" t="s">
        <v>41</v>
      </c>
      <c r="W79" s="79" t="s">
        <v>41</v>
      </c>
      <c r="X79" s="79" t="s">
        <v>52</v>
      </c>
      <c r="Y79" s="79" t="s">
        <v>41</v>
      </c>
      <c r="Z79" s="80" t="s">
        <v>52</v>
      </c>
      <c r="AA79" s="79" t="s">
        <v>41</v>
      </c>
      <c r="AB79" s="79" t="s">
        <v>41</v>
      </c>
      <c r="AC79" s="79" t="s">
        <v>41</v>
      </c>
      <c r="AD79" s="79" t="s">
        <v>41</v>
      </c>
      <c r="AE79" s="79" t="s">
        <v>41</v>
      </c>
      <c r="AF79" s="79" t="s">
        <v>41</v>
      </c>
      <c r="AG79" s="80" t="s">
        <v>41</v>
      </c>
      <c r="AH79" s="213">
        <f>COUNTIF(B79:AG79,"P")</f>
        <v>28</v>
      </c>
      <c r="AI79" s="213">
        <f t="shared" ref="AI79" si="85">COUNTIF(C79:AG79,"P/2")</f>
        <v>0</v>
      </c>
      <c r="AJ79" s="214">
        <f t="shared" si="57"/>
        <v>74</v>
      </c>
      <c r="AK79" s="215"/>
      <c r="AL79" s="215">
        <f>AK79*AI79/2</f>
        <v>0</v>
      </c>
      <c r="AM79" s="215">
        <f>AH79*AK79+AL79</f>
        <v>0</v>
      </c>
      <c r="AN79" s="207">
        <f>AJ79/8*AK79</f>
        <v>0</v>
      </c>
      <c r="AO79" s="207">
        <f t="shared" ref="AO79" si="86">AM79+AN79</f>
        <v>0</v>
      </c>
      <c r="AP79" s="199">
        <v>22000</v>
      </c>
      <c r="AQ79" s="199">
        <f t="shared" ref="AQ79" si="87">AP79/28</f>
        <v>785.71428571428567</v>
      </c>
      <c r="AR79" s="199">
        <f t="shared" ref="AR79" si="88">AH79*AQ79</f>
        <v>22000</v>
      </c>
      <c r="AS79" s="71"/>
    </row>
    <row r="80" spans="1:45" ht="15.6" customHeight="1" x14ac:dyDescent="0.25">
      <c r="A80" s="211"/>
      <c r="B80" s="212"/>
      <c r="C80" s="78"/>
      <c r="D80" s="79"/>
      <c r="E80" s="80">
        <v>2</v>
      </c>
      <c r="F80" s="79">
        <v>3</v>
      </c>
      <c r="G80" s="79">
        <v>3</v>
      </c>
      <c r="H80" s="79">
        <v>3</v>
      </c>
      <c r="I80" s="78">
        <v>3</v>
      </c>
      <c r="J80" s="79">
        <v>3</v>
      </c>
      <c r="K80" s="79">
        <v>3</v>
      </c>
      <c r="L80" s="80">
        <v>2</v>
      </c>
      <c r="M80" s="79">
        <v>3</v>
      </c>
      <c r="N80" s="79">
        <v>3</v>
      </c>
      <c r="O80" s="79">
        <v>3</v>
      </c>
      <c r="P80" s="79">
        <v>2</v>
      </c>
      <c r="Q80" s="79">
        <v>3</v>
      </c>
      <c r="R80" s="79">
        <v>3</v>
      </c>
      <c r="S80" s="80">
        <v>2</v>
      </c>
      <c r="T80" s="79">
        <v>3</v>
      </c>
      <c r="U80" s="79">
        <v>3</v>
      </c>
      <c r="V80" s="79">
        <v>2</v>
      </c>
      <c r="W80" s="79">
        <v>8</v>
      </c>
      <c r="X80" s="79"/>
      <c r="Y80" s="79">
        <v>2</v>
      </c>
      <c r="Z80" s="80"/>
      <c r="AA80" s="79">
        <v>3</v>
      </c>
      <c r="AB80" s="79">
        <v>3</v>
      </c>
      <c r="AC80" s="79"/>
      <c r="AD80" s="79">
        <v>3</v>
      </c>
      <c r="AE80" s="79">
        <v>3</v>
      </c>
      <c r="AF80" s="79">
        <v>3</v>
      </c>
      <c r="AG80" s="80"/>
      <c r="AH80" s="213"/>
      <c r="AI80" s="213"/>
      <c r="AJ80" s="214"/>
      <c r="AK80" s="215"/>
      <c r="AL80" s="215"/>
      <c r="AM80" s="215"/>
      <c r="AN80" s="207"/>
      <c r="AO80" s="207"/>
      <c r="AP80" s="200"/>
      <c r="AQ80" s="200"/>
      <c r="AR80" s="200"/>
      <c r="AS80" s="71"/>
    </row>
    <row r="81" spans="1:45" ht="15.6" customHeight="1" x14ac:dyDescent="0.25">
      <c r="A81" s="211"/>
      <c r="B81" s="212"/>
      <c r="C81" s="78"/>
      <c r="D81" s="79"/>
      <c r="E81" s="80"/>
      <c r="F81" s="79"/>
      <c r="G81" s="79"/>
      <c r="H81" s="79"/>
      <c r="I81" s="78"/>
      <c r="J81" s="79"/>
      <c r="K81" s="79"/>
      <c r="L81" s="80"/>
      <c r="M81" s="79"/>
      <c r="N81" s="79"/>
      <c r="O81" s="79"/>
      <c r="P81" s="79"/>
      <c r="Q81" s="79" t="s">
        <v>138</v>
      </c>
      <c r="R81" s="79"/>
      <c r="S81" s="80"/>
      <c r="T81" s="79"/>
      <c r="U81" s="79"/>
      <c r="V81" s="79"/>
      <c r="W81" s="79"/>
      <c r="X81" s="79"/>
      <c r="Y81" s="79"/>
      <c r="Z81" s="80"/>
      <c r="AA81" s="79"/>
      <c r="AB81" s="79"/>
      <c r="AC81" s="79"/>
      <c r="AD81" s="79"/>
      <c r="AE81" s="79"/>
      <c r="AF81" s="79"/>
      <c r="AG81" s="80"/>
      <c r="AH81" s="213"/>
      <c r="AI81" s="213"/>
      <c r="AJ81" s="214"/>
      <c r="AK81" s="215"/>
      <c r="AL81" s="215"/>
      <c r="AM81" s="215"/>
      <c r="AN81" s="207"/>
      <c r="AO81" s="207"/>
      <c r="AP81" s="201"/>
      <c r="AQ81" s="201"/>
      <c r="AR81" s="201"/>
      <c r="AS81" s="71"/>
    </row>
    <row r="82" spans="1:45" ht="15.6" customHeight="1" x14ac:dyDescent="0.25">
      <c r="A82" s="211">
        <v>9</v>
      </c>
      <c r="B82" s="212" t="s">
        <v>130</v>
      </c>
      <c r="C82" s="78" t="s">
        <v>52</v>
      </c>
      <c r="D82" s="79" t="s">
        <v>41</v>
      </c>
      <c r="E82" s="80" t="s">
        <v>41</v>
      </c>
      <c r="F82" s="79" t="s">
        <v>41</v>
      </c>
      <c r="G82" s="79" t="s">
        <v>41</v>
      </c>
      <c r="H82" s="79" t="s">
        <v>41</v>
      </c>
      <c r="I82" s="79" t="s">
        <v>52</v>
      </c>
      <c r="J82" s="79" t="s">
        <v>41</v>
      </c>
      <c r="K82" s="79" t="s">
        <v>41</v>
      </c>
      <c r="L82" s="80" t="s">
        <v>41</v>
      </c>
      <c r="M82" s="79" t="s">
        <v>41</v>
      </c>
      <c r="N82" s="79" t="s">
        <v>41</v>
      </c>
      <c r="O82" s="79" t="s">
        <v>41</v>
      </c>
      <c r="P82" s="79" t="s">
        <v>41</v>
      </c>
      <c r="Q82" s="79" t="s">
        <v>41</v>
      </c>
      <c r="R82" s="79" t="s">
        <v>41</v>
      </c>
      <c r="S82" s="80" t="s">
        <v>41</v>
      </c>
      <c r="T82" s="79" t="s">
        <v>41</v>
      </c>
      <c r="U82" s="79" t="s">
        <v>41</v>
      </c>
      <c r="V82" s="79" t="s">
        <v>41</v>
      </c>
      <c r="W82" s="79" t="s">
        <v>41</v>
      </c>
      <c r="X82" s="79" t="s">
        <v>52</v>
      </c>
      <c r="Y82" s="79" t="s">
        <v>41</v>
      </c>
      <c r="Z82" s="80" t="s">
        <v>52</v>
      </c>
      <c r="AA82" s="79" t="s">
        <v>41</v>
      </c>
      <c r="AB82" s="79" t="s">
        <v>41</v>
      </c>
      <c r="AC82" s="79" t="s">
        <v>41</v>
      </c>
      <c r="AD82" s="79" t="s">
        <v>56</v>
      </c>
      <c r="AE82" s="79" t="s">
        <v>41</v>
      </c>
      <c r="AF82" s="79" t="s">
        <v>41</v>
      </c>
      <c r="AG82" s="80" t="s">
        <v>41</v>
      </c>
      <c r="AH82" s="213">
        <f>COUNTIF(B82:AG82,"P")</f>
        <v>26</v>
      </c>
      <c r="AI82" s="213">
        <f t="shared" ref="AI82" si="89">COUNTIF(C82:AG82,"P/2")</f>
        <v>1</v>
      </c>
      <c r="AJ82" s="214">
        <f t="shared" si="57"/>
        <v>62</v>
      </c>
      <c r="AK82" s="215"/>
      <c r="AL82" s="215">
        <f>AK82*AI82/2</f>
        <v>0</v>
      </c>
      <c r="AM82" s="215">
        <f>AH82*AK82+AL82</f>
        <v>0</v>
      </c>
      <c r="AN82" s="207">
        <f>AJ82/8*AK82</f>
        <v>0</v>
      </c>
      <c r="AO82" s="207">
        <f t="shared" ref="AO82" si="90">AM82+AN82</f>
        <v>0</v>
      </c>
      <c r="AP82" s="199">
        <v>22000</v>
      </c>
      <c r="AQ82" s="199">
        <f t="shared" ref="AQ82" si="91">AP82/28</f>
        <v>785.71428571428567</v>
      </c>
      <c r="AR82" s="199">
        <f t="shared" ref="AR82" si="92">AH82*AQ82</f>
        <v>20428.571428571428</v>
      </c>
      <c r="AS82" s="71"/>
    </row>
    <row r="83" spans="1:45" ht="15.6" customHeight="1" x14ac:dyDescent="0.25">
      <c r="A83" s="211"/>
      <c r="B83" s="212"/>
      <c r="C83" s="78"/>
      <c r="D83" s="79"/>
      <c r="E83" s="80"/>
      <c r="F83" s="79">
        <v>3</v>
      </c>
      <c r="G83" s="79">
        <v>3</v>
      </c>
      <c r="H83" s="79">
        <v>3</v>
      </c>
      <c r="I83" s="78"/>
      <c r="J83" s="79">
        <v>3</v>
      </c>
      <c r="K83" s="79">
        <v>3</v>
      </c>
      <c r="L83" s="80"/>
      <c r="M83" s="79">
        <v>3</v>
      </c>
      <c r="N83" s="79">
        <v>3</v>
      </c>
      <c r="O83" s="79">
        <v>3</v>
      </c>
      <c r="P83" s="79">
        <v>2</v>
      </c>
      <c r="Q83" s="79">
        <v>3</v>
      </c>
      <c r="R83" s="79">
        <v>3</v>
      </c>
      <c r="S83" s="80"/>
      <c r="T83" s="79">
        <v>3</v>
      </c>
      <c r="U83" s="79">
        <v>3</v>
      </c>
      <c r="V83" s="79">
        <v>2</v>
      </c>
      <c r="W83" s="79">
        <v>8</v>
      </c>
      <c r="X83" s="79"/>
      <c r="Y83" s="79">
        <v>2</v>
      </c>
      <c r="Z83" s="80"/>
      <c r="AA83" s="79">
        <v>3</v>
      </c>
      <c r="AB83" s="79">
        <v>3</v>
      </c>
      <c r="AC83" s="79"/>
      <c r="AD83" s="79"/>
      <c r="AE83" s="79">
        <v>3</v>
      </c>
      <c r="AF83" s="79">
        <v>3</v>
      </c>
      <c r="AG83" s="80"/>
      <c r="AH83" s="213"/>
      <c r="AI83" s="213"/>
      <c r="AJ83" s="214"/>
      <c r="AK83" s="215"/>
      <c r="AL83" s="215"/>
      <c r="AM83" s="215"/>
      <c r="AN83" s="207"/>
      <c r="AO83" s="207"/>
      <c r="AP83" s="200"/>
      <c r="AQ83" s="200"/>
      <c r="AR83" s="200"/>
      <c r="AS83" s="71"/>
    </row>
    <row r="84" spans="1:45" ht="15.6" customHeight="1" x14ac:dyDescent="0.25">
      <c r="A84" s="211"/>
      <c r="B84" s="212"/>
      <c r="C84" s="78"/>
      <c r="D84" s="79"/>
      <c r="E84" s="80"/>
      <c r="F84" s="79"/>
      <c r="G84" s="79"/>
      <c r="H84" s="79"/>
      <c r="I84" s="78"/>
      <c r="J84" s="79"/>
      <c r="K84" s="79"/>
      <c r="L84" s="80"/>
      <c r="M84" s="79"/>
      <c r="N84" s="79"/>
      <c r="O84" s="79"/>
      <c r="P84" s="79"/>
      <c r="Q84" s="79"/>
      <c r="R84" s="79"/>
      <c r="S84" s="80"/>
      <c r="T84" s="79"/>
      <c r="U84" s="79"/>
      <c r="V84" s="79"/>
      <c r="W84" s="79"/>
      <c r="X84" s="79"/>
      <c r="Y84" s="79"/>
      <c r="Z84" s="80"/>
      <c r="AA84" s="79"/>
      <c r="AB84" s="79"/>
      <c r="AC84" s="79"/>
      <c r="AD84" s="79"/>
      <c r="AE84" s="79"/>
      <c r="AF84" s="79"/>
      <c r="AG84" s="80"/>
      <c r="AH84" s="213"/>
      <c r="AI84" s="213"/>
      <c r="AJ84" s="214"/>
      <c r="AK84" s="215"/>
      <c r="AL84" s="215"/>
      <c r="AM84" s="215"/>
      <c r="AN84" s="207"/>
      <c r="AO84" s="207"/>
      <c r="AP84" s="201"/>
      <c r="AQ84" s="201"/>
      <c r="AR84" s="201"/>
      <c r="AS84" s="71"/>
    </row>
    <row r="85" spans="1:45" ht="15.6" customHeight="1" x14ac:dyDescent="0.25">
      <c r="A85" s="211">
        <v>10</v>
      </c>
      <c r="B85" s="212" t="s">
        <v>131</v>
      </c>
      <c r="C85" s="82" t="s">
        <v>52</v>
      </c>
      <c r="D85" s="82" t="s">
        <v>52</v>
      </c>
      <c r="E85" s="82" t="s">
        <v>52</v>
      </c>
      <c r="F85" s="82" t="s">
        <v>52</v>
      </c>
      <c r="G85" s="82" t="s">
        <v>52</v>
      </c>
      <c r="H85" s="82" t="s">
        <v>52</v>
      </c>
      <c r="I85" s="82" t="s">
        <v>52</v>
      </c>
      <c r="J85" s="82" t="s">
        <v>52</v>
      </c>
      <c r="K85" s="82" t="s">
        <v>52</v>
      </c>
      <c r="L85" s="82" t="s">
        <v>52</v>
      </c>
      <c r="M85" s="82" t="s">
        <v>52</v>
      </c>
      <c r="N85" s="82" t="s">
        <v>52</v>
      </c>
      <c r="O85" s="82" t="s">
        <v>52</v>
      </c>
      <c r="P85" s="82" t="s">
        <v>52</v>
      </c>
      <c r="Q85" s="82" t="s">
        <v>52</v>
      </c>
      <c r="R85" s="82" t="s">
        <v>52</v>
      </c>
      <c r="S85" s="82" t="s">
        <v>52</v>
      </c>
      <c r="T85" s="82" t="s">
        <v>52</v>
      </c>
      <c r="U85" s="82" t="s">
        <v>52</v>
      </c>
      <c r="V85" s="82" t="s">
        <v>52</v>
      </c>
      <c r="W85" s="82" t="s">
        <v>52</v>
      </c>
      <c r="X85" s="82" t="s">
        <v>52</v>
      </c>
      <c r="Y85" s="82" t="s">
        <v>52</v>
      </c>
      <c r="Z85" s="82" t="s">
        <v>52</v>
      </c>
      <c r="AA85" s="82" t="s">
        <v>52</v>
      </c>
      <c r="AB85" s="79" t="s">
        <v>41</v>
      </c>
      <c r="AC85" s="79" t="s">
        <v>41</v>
      </c>
      <c r="AD85" s="79" t="s">
        <v>41</v>
      </c>
      <c r="AE85" s="79" t="s">
        <v>41</v>
      </c>
      <c r="AF85" s="79" t="s">
        <v>41</v>
      </c>
      <c r="AG85" s="80" t="s">
        <v>41</v>
      </c>
      <c r="AH85" s="213">
        <f>COUNTIF(B85:AG85,"P")</f>
        <v>6</v>
      </c>
      <c r="AI85" s="213">
        <f t="shared" ref="AI85" si="93">COUNTIF(C85:AG85,"P/2")</f>
        <v>0</v>
      </c>
      <c r="AJ85" s="214">
        <f t="shared" si="57"/>
        <v>12</v>
      </c>
      <c r="AK85" s="215"/>
      <c r="AL85" s="215">
        <f>AK85*AI85/2</f>
        <v>0</v>
      </c>
      <c r="AM85" s="215">
        <f>AH85*AK85+AL85</f>
        <v>0</v>
      </c>
      <c r="AN85" s="207">
        <f>AJ85/8*AK85</f>
        <v>0</v>
      </c>
      <c r="AO85" s="207">
        <f t="shared" ref="AO85" si="94">AM85+AN85</f>
        <v>0</v>
      </c>
      <c r="AP85" s="199">
        <v>22000</v>
      </c>
      <c r="AQ85" s="199">
        <f t="shared" ref="AQ85" si="95">AP85/28</f>
        <v>785.71428571428567</v>
      </c>
      <c r="AR85" s="199">
        <f t="shared" ref="AR85" si="96">AH85*AQ85</f>
        <v>4714.2857142857138</v>
      </c>
      <c r="AS85" s="71"/>
    </row>
    <row r="86" spans="1:45" ht="15.6" customHeight="1" x14ac:dyDescent="0.25">
      <c r="A86" s="211"/>
      <c r="B86" s="212"/>
      <c r="C86" s="78"/>
      <c r="D86" s="79"/>
      <c r="E86" s="80"/>
      <c r="F86" s="79"/>
      <c r="G86" s="79"/>
      <c r="H86" s="79"/>
      <c r="I86" s="78"/>
      <c r="J86" s="79"/>
      <c r="K86" s="79"/>
      <c r="L86" s="80"/>
      <c r="M86" s="79"/>
      <c r="N86" s="79"/>
      <c r="O86" s="79"/>
      <c r="P86" s="79"/>
      <c r="Q86" s="79"/>
      <c r="R86" s="79"/>
      <c r="S86" s="80"/>
      <c r="T86" s="79"/>
      <c r="U86" s="79"/>
      <c r="V86" s="79"/>
      <c r="W86" s="79"/>
      <c r="X86" s="79"/>
      <c r="Y86" s="79"/>
      <c r="Z86" s="80"/>
      <c r="AA86" s="79"/>
      <c r="AB86" s="79">
        <v>3</v>
      </c>
      <c r="AC86" s="79"/>
      <c r="AD86" s="79">
        <v>3</v>
      </c>
      <c r="AE86" s="79">
        <v>3</v>
      </c>
      <c r="AF86" s="79">
        <v>3</v>
      </c>
      <c r="AG86" s="80"/>
      <c r="AH86" s="213"/>
      <c r="AI86" s="213"/>
      <c r="AJ86" s="214"/>
      <c r="AK86" s="215"/>
      <c r="AL86" s="215"/>
      <c r="AM86" s="215"/>
      <c r="AN86" s="207"/>
      <c r="AO86" s="207"/>
      <c r="AP86" s="200"/>
      <c r="AQ86" s="200"/>
      <c r="AR86" s="200"/>
      <c r="AS86" s="71"/>
    </row>
    <row r="87" spans="1:45" ht="15.6" customHeight="1" x14ac:dyDescent="0.25">
      <c r="A87" s="211"/>
      <c r="B87" s="212"/>
      <c r="C87" s="78"/>
      <c r="D87" s="79"/>
      <c r="E87" s="80"/>
      <c r="F87" s="79"/>
      <c r="G87" s="72"/>
      <c r="H87" s="79"/>
      <c r="I87" s="78"/>
      <c r="J87" s="79"/>
      <c r="K87" s="79"/>
      <c r="L87" s="80"/>
      <c r="M87" s="79"/>
      <c r="N87" s="79"/>
      <c r="O87" s="79"/>
      <c r="P87" s="79"/>
      <c r="Q87" s="79"/>
      <c r="R87" s="79"/>
      <c r="S87" s="80"/>
      <c r="T87" s="79"/>
      <c r="U87" s="79"/>
      <c r="V87" s="79"/>
      <c r="W87" s="79"/>
      <c r="X87" s="79"/>
      <c r="Y87" s="79"/>
      <c r="Z87" s="80"/>
      <c r="AA87" s="79"/>
      <c r="AB87" s="79"/>
      <c r="AC87" s="79"/>
      <c r="AD87" s="79"/>
      <c r="AE87" s="79"/>
      <c r="AF87" s="79"/>
      <c r="AG87" s="80"/>
      <c r="AH87" s="213"/>
      <c r="AI87" s="213"/>
      <c r="AJ87" s="214"/>
      <c r="AK87" s="215"/>
      <c r="AL87" s="215"/>
      <c r="AM87" s="215"/>
      <c r="AN87" s="207"/>
      <c r="AO87" s="207"/>
      <c r="AP87" s="201"/>
      <c r="AQ87" s="201"/>
      <c r="AR87" s="201"/>
      <c r="AS87" s="71"/>
    </row>
    <row r="88" spans="1:45" ht="15.6" customHeight="1" x14ac:dyDescent="0.25">
      <c r="A88" s="211">
        <v>11</v>
      </c>
      <c r="B88" s="212" t="s">
        <v>132</v>
      </c>
      <c r="C88" s="78" t="s">
        <v>52</v>
      </c>
      <c r="D88" s="78" t="s">
        <v>52</v>
      </c>
      <c r="E88" s="78" t="s">
        <v>52</v>
      </c>
      <c r="F88" s="78" t="s">
        <v>52</v>
      </c>
      <c r="G88" s="78" t="s">
        <v>52</v>
      </c>
      <c r="H88" s="78" t="s">
        <v>52</v>
      </c>
      <c r="I88" s="78" t="s">
        <v>52</v>
      </c>
      <c r="J88" s="78" t="s">
        <v>52</v>
      </c>
      <c r="K88" s="78" t="s">
        <v>52</v>
      </c>
      <c r="L88" s="78" t="s">
        <v>52</v>
      </c>
      <c r="M88" s="78" t="s">
        <v>52</v>
      </c>
      <c r="N88" s="78" t="s">
        <v>52</v>
      </c>
      <c r="O88" s="78" t="s">
        <v>52</v>
      </c>
      <c r="P88" s="78" t="s">
        <v>52</v>
      </c>
      <c r="Q88" s="78" t="s">
        <v>52</v>
      </c>
      <c r="R88" s="78" t="s">
        <v>52</v>
      </c>
      <c r="S88" s="78" t="s">
        <v>52</v>
      </c>
      <c r="T88" s="78" t="s">
        <v>52</v>
      </c>
      <c r="U88" s="78" t="s">
        <v>52</v>
      </c>
      <c r="V88" s="78" t="s">
        <v>52</v>
      </c>
      <c r="W88" s="78" t="s">
        <v>52</v>
      </c>
      <c r="X88" s="78" t="s">
        <v>52</v>
      </c>
      <c r="Y88" s="78" t="s">
        <v>52</v>
      </c>
      <c r="Z88" s="78" t="s">
        <v>52</v>
      </c>
      <c r="AA88" s="78" t="s">
        <v>52</v>
      </c>
      <c r="AB88" s="79" t="s">
        <v>41</v>
      </c>
      <c r="AC88" s="79" t="s">
        <v>41</v>
      </c>
      <c r="AD88" s="79" t="s">
        <v>41</v>
      </c>
      <c r="AE88" s="79" t="s">
        <v>41</v>
      </c>
      <c r="AF88" s="79" t="s">
        <v>41</v>
      </c>
      <c r="AG88" s="80" t="s">
        <v>41</v>
      </c>
      <c r="AH88" s="213">
        <f>COUNTIF(B88:AG88,"P")</f>
        <v>6</v>
      </c>
      <c r="AI88" s="213">
        <f t="shared" ref="AI88" si="97">COUNTIF(C88:AG88,"P/2")</f>
        <v>0</v>
      </c>
      <c r="AJ88" s="214">
        <f t="shared" si="57"/>
        <v>12</v>
      </c>
      <c r="AK88" s="215"/>
      <c r="AL88" s="215">
        <f>AK88*AI88/2</f>
        <v>0</v>
      </c>
      <c r="AM88" s="215">
        <f>AH88*AK88+AL88</f>
        <v>0</v>
      </c>
      <c r="AN88" s="207">
        <f>AJ88/8*AK88</f>
        <v>0</v>
      </c>
      <c r="AO88" s="207">
        <f t="shared" ref="AO88" si="98">AM88+AN88</f>
        <v>0</v>
      </c>
      <c r="AP88" s="199">
        <v>22000</v>
      </c>
      <c r="AQ88" s="199">
        <f t="shared" ref="AQ88" si="99">AP88/28</f>
        <v>785.71428571428567</v>
      </c>
      <c r="AR88" s="199">
        <f t="shared" ref="AR88" si="100">AH88*AQ88</f>
        <v>4714.2857142857138</v>
      </c>
      <c r="AS88" s="71"/>
    </row>
    <row r="89" spans="1:45" ht="15.6" customHeight="1" x14ac:dyDescent="0.25">
      <c r="A89" s="211"/>
      <c r="B89" s="212"/>
      <c r="C89" s="78"/>
      <c r="D89" s="79"/>
      <c r="E89" s="80"/>
      <c r="F89" s="79"/>
      <c r="G89" s="79"/>
      <c r="H89" s="79"/>
      <c r="I89" s="78"/>
      <c r="J89" s="79"/>
      <c r="K89" s="79"/>
      <c r="L89" s="80"/>
      <c r="M89" s="79"/>
      <c r="N89" s="79"/>
      <c r="O89" s="79"/>
      <c r="P89" s="79"/>
      <c r="Q89" s="79"/>
      <c r="R89" s="79"/>
      <c r="S89" s="80"/>
      <c r="T89" s="79"/>
      <c r="U89" s="79"/>
      <c r="V89" s="79"/>
      <c r="W89" s="79"/>
      <c r="X89" s="79"/>
      <c r="Y89" s="79"/>
      <c r="Z89" s="80"/>
      <c r="AA89" s="79"/>
      <c r="AB89" s="79">
        <v>3</v>
      </c>
      <c r="AC89" s="79"/>
      <c r="AD89" s="79">
        <v>3</v>
      </c>
      <c r="AE89" s="79">
        <v>3</v>
      </c>
      <c r="AF89" s="79">
        <v>3</v>
      </c>
      <c r="AG89" s="80"/>
      <c r="AH89" s="213"/>
      <c r="AI89" s="213"/>
      <c r="AJ89" s="214"/>
      <c r="AK89" s="215"/>
      <c r="AL89" s="215"/>
      <c r="AM89" s="215"/>
      <c r="AN89" s="207"/>
      <c r="AO89" s="207"/>
      <c r="AP89" s="200"/>
      <c r="AQ89" s="200"/>
      <c r="AR89" s="200"/>
      <c r="AS89" s="71"/>
    </row>
    <row r="90" spans="1:45" ht="15.6" customHeight="1" x14ac:dyDescent="0.25">
      <c r="A90" s="211"/>
      <c r="B90" s="212"/>
      <c r="C90" s="78"/>
      <c r="D90" s="79"/>
      <c r="E90" s="80"/>
      <c r="F90" s="79"/>
      <c r="G90" s="79"/>
      <c r="H90" s="79"/>
      <c r="I90" s="78"/>
      <c r="J90" s="79"/>
      <c r="K90" s="79"/>
      <c r="L90" s="80"/>
      <c r="M90" s="79"/>
      <c r="N90" s="79"/>
      <c r="O90" s="79"/>
      <c r="P90" s="79"/>
      <c r="Q90" s="79"/>
      <c r="R90" s="79"/>
      <c r="S90" s="80"/>
      <c r="T90" s="79"/>
      <c r="U90" s="79"/>
      <c r="V90" s="79"/>
      <c r="W90" s="79"/>
      <c r="X90" s="79"/>
      <c r="Y90" s="79"/>
      <c r="Z90" s="80"/>
      <c r="AA90" s="79"/>
      <c r="AB90" s="79"/>
      <c r="AC90" s="79"/>
      <c r="AD90" s="79"/>
      <c r="AE90" s="79"/>
      <c r="AF90" s="79"/>
      <c r="AG90" s="80"/>
      <c r="AH90" s="213"/>
      <c r="AI90" s="213"/>
      <c r="AJ90" s="214"/>
      <c r="AK90" s="215"/>
      <c r="AL90" s="215"/>
      <c r="AM90" s="215"/>
      <c r="AN90" s="207"/>
      <c r="AO90" s="207"/>
      <c r="AP90" s="201"/>
      <c r="AQ90" s="201"/>
      <c r="AR90" s="201"/>
      <c r="AS90" s="71"/>
    </row>
    <row r="91" spans="1:45" ht="15.6" customHeight="1" x14ac:dyDescent="0.25">
      <c r="A91" s="211">
        <v>12</v>
      </c>
      <c r="B91" s="212" t="s">
        <v>133</v>
      </c>
      <c r="C91" s="82" t="s">
        <v>52</v>
      </c>
      <c r="D91" s="82" t="s">
        <v>52</v>
      </c>
      <c r="E91" s="82" t="s">
        <v>52</v>
      </c>
      <c r="F91" s="82" t="s">
        <v>52</v>
      </c>
      <c r="G91" s="82" t="s">
        <v>52</v>
      </c>
      <c r="H91" s="82" t="s">
        <v>52</v>
      </c>
      <c r="I91" s="82" t="s">
        <v>52</v>
      </c>
      <c r="J91" s="82" t="s">
        <v>52</v>
      </c>
      <c r="K91" s="82" t="s">
        <v>52</v>
      </c>
      <c r="L91" s="82" t="s">
        <v>52</v>
      </c>
      <c r="M91" s="82" t="s">
        <v>52</v>
      </c>
      <c r="N91" s="82" t="s">
        <v>52</v>
      </c>
      <c r="O91" s="82" t="s">
        <v>52</v>
      </c>
      <c r="P91" s="82" t="s">
        <v>52</v>
      </c>
      <c r="Q91" s="82" t="s">
        <v>52</v>
      </c>
      <c r="R91" s="82" t="s">
        <v>52</v>
      </c>
      <c r="S91" s="82" t="s">
        <v>52</v>
      </c>
      <c r="T91" s="82" t="s">
        <v>52</v>
      </c>
      <c r="U91" s="82" t="s">
        <v>52</v>
      </c>
      <c r="V91" s="82" t="s">
        <v>52</v>
      </c>
      <c r="W91" s="82" t="s">
        <v>52</v>
      </c>
      <c r="X91" s="82" t="s">
        <v>52</v>
      </c>
      <c r="Y91" s="82" t="s">
        <v>52</v>
      </c>
      <c r="Z91" s="82" t="s">
        <v>52</v>
      </c>
      <c r="AA91" s="82" t="s">
        <v>52</v>
      </c>
      <c r="AB91" s="79" t="s">
        <v>41</v>
      </c>
      <c r="AC91" s="79" t="s">
        <v>41</v>
      </c>
      <c r="AD91" s="79" t="s">
        <v>41</v>
      </c>
      <c r="AE91" s="79" t="s">
        <v>41</v>
      </c>
      <c r="AF91" s="79" t="s">
        <v>41</v>
      </c>
      <c r="AG91" s="80" t="s">
        <v>41</v>
      </c>
      <c r="AH91" s="213">
        <f>COUNTIF(B91:AG91,"P")</f>
        <v>6</v>
      </c>
      <c r="AI91" s="213">
        <f t="shared" ref="AI91" si="101">COUNTIF(C91:AG91,"P/2")</f>
        <v>0</v>
      </c>
      <c r="AJ91" s="214">
        <f t="shared" si="57"/>
        <v>12</v>
      </c>
      <c r="AK91" s="215"/>
      <c r="AL91" s="215">
        <f>AK91*AI91/2</f>
        <v>0</v>
      </c>
      <c r="AM91" s="215">
        <f>AH91*AK91+AL91</f>
        <v>0</v>
      </c>
      <c r="AN91" s="207">
        <f>AJ91/8*AK91</f>
        <v>0</v>
      </c>
      <c r="AO91" s="207">
        <f t="shared" ref="AO91" si="102">AM91+AN91</f>
        <v>0</v>
      </c>
      <c r="AP91" s="199">
        <v>22000</v>
      </c>
      <c r="AQ91" s="199">
        <f t="shared" ref="AQ91" si="103">AP91/28</f>
        <v>785.71428571428567</v>
      </c>
      <c r="AR91" s="199">
        <f t="shared" ref="AR91" si="104">AH91*AQ91</f>
        <v>4714.2857142857138</v>
      </c>
      <c r="AS91" s="71"/>
    </row>
    <row r="92" spans="1:45" ht="15.6" customHeight="1" x14ac:dyDescent="0.25">
      <c r="A92" s="211"/>
      <c r="B92" s="212"/>
      <c r="C92" s="78"/>
      <c r="D92" s="79"/>
      <c r="E92" s="80"/>
      <c r="F92" s="79"/>
      <c r="G92" s="79"/>
      <c r="H92" s="79"/>
      <c r="I92" s="78"/>
      <c r="J92" s="79"/>
      <c r="K92" s="79"/>
      <c r="L92" s="80"/>
      <c r="M92" s="79"/>
      <c r="N92" s="79"/>
      <c r="O92" s="79"/>
      <c r="P92" s="79"/>
      <c r="Q92" s="79"/>
      <c r="R92" s="79"/>
      <c r="S92" s="80"/>
      <c r="T92" s="79"/>
      <c r="U92" s="79"/>
      <c r="V92" s="79"/>
      <c r="W92" s="79"/>
      <c r="X92" s="79"/>
      <c r="Y92" s="79"/>
      <c r="Z92" s="80"/>
      <c r="AA92" s="79"/>
      <c r="AB92" s="79">
        <v>3</v>
      </c>
      <c r="AC92" s="79"/>
      <c r="AD92" s="79">
        <v>3</v>
      </c>
      <c r="AE92" s="79">
        <v>3</v>
      </c>
      <c r="AF92" s="79">
        <v>3</v>
      </c>
      <c r="AG92" s="80"/>
      <c r="AH92" s="213"/>
      <c r="AI92" s="213"/>
      <c r="AJ92" s="214"/>
      <c r="AK92" s="215"/>
      <c r="AL92" s="215"/>
      <c r="AM92" s="215"/>
      <c r="AN92" s="207"/>
      <c r="AO92" s="207"/>
      <c r="AP92" s="200"/>
      <c r="AQ92" s="200"/>
      <c r="AR92" s="200"/>
      <c r="AS92" s="71"/>
    </row>
    <row r="93" spans="1:45" ht="14.25" customHeight="1" x14ac:dyDescent="0.25">
      <c r="A93" s="211"/>
      <c r="B93" s="212"/>
      <c r="C93" s="78"/>
      <c r="D93" s="79"/>
      <c r="E93" s="80"/>
      <c r="F93" s="79"/>
      <c r="G93" s="72"/>
      <c r="H93" s="79"/>
      <c r="I93" s="78"/>
      <c r="J93" s="79"/>
      <c r="K93" s="79"/>
      <c r="L93" s="80"/>
      <c r="M93" s="79"/>
      <c r="N93" s="79"/>
      <c r="O93" s="79"/>
      <c r="P93" s="79"/>
      <c r="Q93" s="79"/>
      <c r="R93" s="79"/>
      <c r="S93" s="80"/>
      <c r="T93" s="79"/>
      <c r="U93" s="79"/>
      <c r="V93" s="79"/>
      <c r="W93" s="79"/>
      <c r="X93" s="79"/>
      <c r="Y93" s="79"/>
      <c r="Z93" s="80"/>
      <c r="AA93" s="79"/>
      <c r="AB93" s="79"/>
      <c r="AC93" s="79"/>
      <c r="AD93" s="79"/>
      <c r="AE93" s="79"/>
      <c r="AF93" s="79"/>
      <c r="AG93" s="80"/>
      <c r="AH93" s="213"/>
      <c r="AI93" s="213"/>
      <c r="AJ93" s="214"/>
      <c r="AK93" s="215"/>
      <c r="AL93" s="215"/>
      <c r="AM93" s="215"/>
      <c r="AN93" s="207"/>
      <c r="AO93" s="207"/>
      <c r="AP93" s="201"/>
      <c r="AQ93" s="201"/>
      <c r="AR93" s="201"/>
      <c r="AS93" s="71"/>
    </row>
    <row r="94" spans="1:45" ht="15.6" customHeight="1" x14ac:dyDescent="0.25">
      <c r="A94" s="211">
        <v>13</v>
      </c>
      <c r="B94" s="212" t="s">
        <v>134</v>
      </c>
      <c r="C94" s="79" t="s">
        <v>52</v>
      </c>
      <c r="D94" s="79" t="s">
        <v>52</v>
      </c>
      <c r="E94" s="79" t="s">
        <v>52</v>
      </c>
      <c r="F94" s="79" t="s">
        <v>52</v>
      </c>
      <c r="G94" s="79" t="s">
        <v>52</v>
      </c>
      <c r="H94" s="79" t="s">
        <v>52</v>
      </c>
      <c r="I94" s="79" t="s">
        <v>52</v>
      </c>
      <c r="J94" s="79" t="s">
        <v>52</v>
      </c>
      <c r="K94" s="79" t="s">
        <v>52</v>
      </c>
      <c r="L94" s="79" t="s">
        <v>52</v>
      </c>
      <c r="M94" s="79" t="s">
        <v>52</v>
      </c>
      <c r="N94" s="79" t="s">
        <v>52</v>
      </c>
      <c r="O94" s="79" t="s">
        <v>52</v>
      </c>
      <c r="P94" s="79" t="s">
        <v>52</v>
      </c>
      <c r="Q94" s="79" t="s">
        <v>52</v>
      </c>
      <c r="R94" s="79" t="s">
        <v>52</v>
      </c>
      <c r="S94" s="79" t="s">
        <v>52</v>
      </c>
      <c r="T94" s="79" t="s">
        <v>52</v>
      </c>
      <c r="U94" s="79" t="s">
        <v>52</v>
      </c>
      <c r="V94" s="79" t="s">
        <v>52</v>
      </c>
      <c r="W94" s="79" t="s">
        <v>41</v>
      </c>
      <c r="X94" s="79" t="s">
        <v>41</v>
      </c>
      <c r="Y94" s="79" t="s">
        <v>41</v>
      </c>
      <c r="Z94" s="80" t="s">
        <v>41</v>
      </c>
      <c r="AA94" s="79" t="s">
        <v>41</v>
      </c>
      <c r="AB94" s="79" t="s">
        <v>41</v>
      </c>
      <c r="AC94" s="79" t="s">
        <v>41</v>
      </c>
      <c r="AD94" s="79" t="s">
        <v>41</v>
      </c>
      <c r="AE94" s="79" t="s">
        <v>41</v>
      </c>
      <c r="AF94" s="79" t="s">
        <v>41</v>
      </c>
      <c r="AG94" s="80" t="s">
        <v>52</v>
      </c>
      <c r="AH94" s="213">
        <f>COUNTIF(B94:AG94,"P")</f>
        <v>10</v>
      </c>
      <c r="AI94" s="213">
        <f t="shared" ref="AI94" si="105">COUNTIF(C94:AG94,"P/2")</f>
        <v>0</v>
      </c>
      <c r="AJ94" s="214">
        <f t="shared" si="57"/>
        <v>18</v>
      </c>
      <c r="AK94" s="215"/>
      <c r="AL94" s="215">
        <f>AK94*AI94/2</f>
        <v>0</v>
      </c>
      <c r="AM94" s="215">
        <f>AH94*AK94+AL94</f>
        <v>0</v>
      </c>
      <c r="AN94" s="207">
        <f>AJ94/8*AK94</f>
        <v>0</v>
      </c>
      <c r="AO94" s="207">
        <f t="shared" ref="AO94" si="106">AM94+AN94</f>
        <v>0</v>
      </c>
      <c r="AP94" s="199">
        <v>26000</v>
      </c>
      <c r="AQ94" s="199">
        <f t="shared" ref="AQ94" si="107">AP94/28</f>
        <v>928.57142857142856</v>
      </c>
      <c r="AR94" s="199">
        <f t="shared" ref="AR94" si="108">AH94*AQ94</f>
        <v>9285.7142857142862</v>
      </c>
      <c r="AS94" s="71"/>
    </row>
    <row r="95" spans="1:45" ht="15.6" customHeight="1" x14ac:dyDescent="0.25">
      <c r="A95" s="211"/>
      <c r="B95" s="212"/>
      <c r="C95" s="78"/>
      <c r="D95" s="79"/>
      <c r="E95" s="80"/>
      <c r="F95" s="79"/>
      <c r="G95" s="79"/>
      <c r="H95" s="79"/>
      <c r="I95" s="78"/>
      <c r="J95" s="79"/>
      <c r="K95" s="79"/>
      <c r="L95" s="80"/>
      <c r="M95" s="79"/>
      <c r="N95" s="79"/>
      <c r="O95" s="79"/>
      <c r="P95" s="79"/>
      <c r="Q95" s="79"/>
      <c r="R95" s="79"/>
      <c r="S95" s="80"/>
      <c r="T95" s="79"/>
      <c r="U95" s="79"/>
      <c r="V95" s="79"/>
      <c r="W95" s="79"/>
      <c r="X95" s="79"/>
      <c r="Y95" s="79"/>
      <c r="Z95" s="80">
        <v>3</v>
      </c>
      <c r="AA95" s="79">
        <v>2</v>
      </c>
      <c r="AB95" s="79">
        <v>2</v>
      </c>
      <c r="AC95" s="79">
        <v>2</v>
      </c>
      <c r="AD95" s="79">
        <v>3</v>
      </c>
      <c r="AE95" s="79">
        <v>2</v>
      </c>
      <c r="AF95" s="79">
        <v>4</v>
      </c>
      <c r="AG95" s="80"/>
      <c r="AH95" s="213"/>
      <c r="AI95" s="213"/>
      <c r="AJ95" s="214"/>
      <c r="AK95" s="215"/>
      <c r="AL95" s="215"/>
      <c r="AM95" s="215"/>
      <c r="AN95" s="207"/>
      <c r="AO95" s="207"/>
      <c r="AP95" s="200"/>
      <c r="AQ95" s="200"/>
      <c r="AR95" s="200"/>
      <c r="AS95" s="71"/>
    </row>
    <row r="96" spans="1:45" ht="15.6" customHeight="1" x14ac:dyDescent="0.25">
      <c r="A96" s="211"/>
      <c r="B96" s="212"/>
      <c r="C96" s="78"/>
      <c r="D96" s="79"/>
      <c r="E96" s="80"/>
      <c r="F96" s="79"/>
      <c r="G96" s="79"/>
      <c r="H96" s="79"/>
      <c r="I96" s="78"/>
      <c r="J96" s="79"/>
      <c r="K96" s="79"/>
      <c r="L96" s="80"/>
      <c r="M96" s="79"/>
      <c r="N96" s="79"/>
      <c r="O96" s="79"/>
      <c r="P96" s="79"/>
      <c r="Q96" s="79"/>
      <c r="R96" s="79"/>
      <c r="S96" s="80"/>
      <c r="T96" s="79"/>
      <c r="U96" s="79"/>
      <c r="V96" s="79"/>
      <c r="W96" s="79"/>
      <c r="X96" s="79"/>
      <c r="Y96" s="79"/>
      <c r="Z96" s="80"/>
      <c r="AA96" s="79"/>
      <c r="AB96" s="79"/>
      <c r="AC96" s="79"/>
      <c r="AD96" s="79"/>
      <c r="AE96" s="79"/>
      <c r="AF96" s="79"/>
      <c r="AG96" s="80"/>
      <c r="AH96" s="213"/>
      <c r="AI96" s="213"/>
      <c r="AJ96" s="214"/>
      <c r="AK96" s="215"/>
      <c r="AL96" s="215"/>
      <c r="AM96" s="215"/>
      <c r="AN96" s="207"/>
      <c r="AO96" s="207"/>
      <c r="AP96" s="201"/>
      <c r="AQ96" s="201"/>
      <c r="AR96" s="201"/>
      <c r="AS96" s="71"/>
    </row>
    <row r="97" spans="1:45" ht="15.6" customHeight="1" x14ac:dyDescent="0.25">
      <c r="A97" s="211">
        <v>14</v>
      </c>
      <c r="B97" s="212" t="s">
        <v>139</v>
      </c>
      <c r="C97" s="79" t="s">
        <v>52</v>
      </c>
      <c r="D97" s="79" t="s">
        <v>52</v>
      </c>
      <c r="E97" s="79" t="s">
        <v>52</v>
      </c>
      <c r="F97" s="79" t="s">
        <v>52</v>
      </c>
      <c r="G97" s="79" t="s">
        <v>52</v>
      </c>
      <c r="H97" s="79" t="s">
        <v>52</v>
      </c>
      <c r="I97" s="79" t="s">
        <v>52</v>
      </c>
      <c r="J97" s="79" t="s">
        <v>52</v>
      </c>
      <c r="K97" s="79" t="s">
        <v>52</v>
      </c>
      <c r="L97" s="80" t="s">
        <v>41</v>
      </c>
      <c r="M97" s="79" t="s">
        <v>41</v>
      </c>
      <c r="N97" s="79" t="s">
        <v>41</v>
      </c>
      <c r="O97" s="79" t="s">
        <v>41</v>
      </c>
      <c r="P97" s="79" t="s">
        <v>41</v>
      </c>
      <c r="Q97" s="79" t="s">
        <v>41</v>
      </c>
      <c r="R97" s="79" t="s">
        <v>41</v>
      </c>
      <c r="S97" s="80" t="s">
        <v>41</v>
      </c>
      <c r="T97" s="79" t="s">
        <v>52</v>
      </c>
      <c r="U97" s="79" t="s">
        <v>52</v>
      </c>
      <c r="V97" s="79" t="s">
        <v>52</v>
      </c>
      <c r="W97" s="79" t="s">
        <v>52</v>
      </c>
      <c r="X97" s="79" t="s">
        <v>52</v>
      </c>
      <c r="Y97" s="79" t="s">
        <v>52</v>
      </c>
      <c r="Z97" s="79" t="s">
        <v>52</v>
      </c>
      <c r="AA97" s="79" t="s">
        <v>52</v>
      </c>
      <c r="AB97" s="79" t="s">
        <v>52</v>
      </c>
      <c r="AC97" s="79" t="s">
        <v>52</v>
      </c>
      <c r="AD97" s="79" t="s">
        <v>52</v>
      </c>
      <c r="AE97" s="79" t="s">
        <v>52</v>
      </c>
      <c r="AF97" s="79" t="s">
        <v>52</v>
      </c>
      <c r="AG97" s="79" t="s">
        <v>52</v>
      </c>
      <c r="AH97" s="213">
        <f>COUNTIF(B97:AG97,"P")</f>
        <v>8</v>
      </c>
      <c r="AI97" s="213">
        <f t="shared" ref="AI97" si="109">COUNTIF(C97:AG97,"P/2")</f>
        <v>0</v>
      </c>
      <c r="AJ97" s="214">
        <f t="shared" si="57"/>
        <v>21</v>
      </c>
      <c r="AK97" s="215"/>
      <c r="AL97" s="215">
        <f>AK97*AI97/2</f>
        <v>0</v>
      </c>
      <c r="AM97" s="215">
        <f>AH97*AK97+AL97</f>
        <v>0</v>
      </c>
      <c r="AN97" s="207">
        <f>AJ97/8*AK97</f>
        <v>0</v>
      </c>
      <c r="AO97" s="207">
        <f t="shared" ref="AO97:AO103" si="110">AM97+AN97</f>
        <v>0</v>
      </c>
      <c r="AP97" s="199">
        <v>32000</v>
      </c>
      <c r="AQ97" s="199">
        <f t="shared" ref="AQ97" si="111">AP97/28</f>
        <v>1142.8571428571429</v>
      </c>
      <c r="AR97" s="199">
        <f t="shared" ref="AR97" si="112">AH97*AQ97</f>
        <v>9142.8571428571431</v>
      </c>
      <c r="AS97" s="71"/>
    </row>
    <row r="98" spans="1:45" ht="15.6" customHeight="1" x14ac:dyDescent="0.25">
      <c r="A98" s="211"/>
      <c r="B98" s="212"/>
      <c r="C98" s="78"/>
      <c r="D98" s="79"/>
      <c r="E98" s="80"/>
      <c r="F98" s="79"/>
      <c r="G98" s="79"/>
      <c r="H98" s="79"/>
      <c r="I98" s="78"/>
      <c r="J98" s="79"/>
      <c r="K98" s="79"/>
      <c r="L98" s="80"/>
      <c r="M98" s="79">
        <v>3</v>
      </c>
      <c r="N98" s="79">
        <v>3</v>
      </c>
      <c r="O98" s="79">
        <v>3</v>
      </c>
      <c r="P98" s="79">
        <v>3</v>
      </c>
      <c r="Q98" s="79">
        <v>3</v>
      </c>
      <c r="R98" s="79">
        <v>3</v>
      </c>
      <c r="S98" s="80">
        <v>3</v>
      </c>
      <c r="T98" s="79"/>
      <c r="U98" s="79"/>
      <c r="V98" s="79"/>
      <c r="W98" s="79"/>
      <c r="X98" s="79"/>
      <c r="Y98" s="79"/>
      <c r="Z98" s="80"/>
      <c r="AA98" s="79"/>
      <c r="AB98" s="79"/>
      <c r="AC98" s="79"/>
      <c r="AD98" s="79"/>
      <c r="AE98" s="79"/>
      <c r="AF98" s="79"/>
      <c r="AG98" s="80"/>
      <c r="AH98" s="213"/>
      <c r="AI98" s="213"/>
      <c r="AJ98" s="214"/>
      <c r="AK98" s="215"/>
      <c r="AL98" s="215"/>
      <c r="AM98" s="215"/>
      <c r="AN98" s="207"/>
      <c r="AO98" s="207"/>
      <c r="AP98" s="200"/>
      <c r="AQ98" s="200"/>
      <c r="AR98" s="200"/>
      <c r="AS98" s="71"/>
    </row>
    <row r="99" spans="1:45" ht="15.6" customHeight="1" x14ac:dyDescent="0.25">
      <c r="A99" s="211"/>
      <c r="B99" s="212"/>
      <c r="C99" s="78"/>
      <c r="D99" s="79"/>
      <c r="E99" s="80"/>
      <c r="F99" s="79"/>
      <c r="G99" s="79"/>
      <c r="H99" s="79"/>
      <c r="I99" s="78"/>
      <c r="J99" s="79"/>
      <c r="K99" s="79"/>
      <c r="L99" s="80"/>
      <c r="M99" s="79"/>
      <c r="N99" s="79"/>
      <c r="O99" s="79"/>
      <c r="P99" s="79"/>
      <c r="Q99" s="79"/>
      <c r="R99" s="79"/>
      <c r="S99" s="80"/>
      <c r="T99" s="79"/>
      <c r="U99" s="79"/>
      <c r="V99" s="79"/>
      <c r="W99" s="79"/>
      <c r="X99" s="79"/>
      <c r="Y99" s="79"/>
      <c r="Z99" s="80"/>
      <c r="AA99" s="79"/>
      <c r="AB99" s="79"/>
      <c r="AC99" s="79"/>
      <c r="AD99" s="79"/>
      <c r="AE99" s="79"/>
      <c r="AF99" s="79"/>
      <c r="AG99" s="80"/>
      <c r="AH99" s="213"/>
      <c r="AI99" s="213"/>
      <c r="AJ99" s="214"/>
      <c r="AK99" s="215"/>
      <c r="AL99" s="215"/>
      <c r="AM99" s="215"/>
      <c r="AN99" s="207"/>
      <c r="AO99" s="207"/>
      <c r="AP99" s="201"/>
      <c r="AQ99" s="201"/>
      <c r="AR99" s="201"/>
      <c r="AS99" s="71"/>
    </row>
    <row r="100" spans="1:45" ht="15.6" customHeight="1" x14ac:dyDescent="0.25">
      <c r="A100" s="211">
        <v>15</v>
      </c>
      <c r="B100" s="212" t="s">
        <v>140</v>
      </c>
      <c r="C100" s="79" t="s">
        <v>52</v>
      </c>
      <c r="D100" s="79" t="s">
        <v>52</v>
      </c>
      <c r="E100" s="79" t="s">
        <v>52</v>
      </c>
      <c r="F100" s="79" t="s">
        <v>52</v>
      </c>
      <c r="G100" s="79" t="s">
        <v>41</v>
      </c>
      <c r="H100" s="79" t="s">
        <v>41</v>
      </c>
      <c r="I100" s="79" t="s">
        <v>41</v>
      </c>
      <c r="J100" s="79" t="s">
        <v>41</v>
      </c>
      <c r="K100" s="79" t="s">
        <v>41</v>
      </c>
      <c r="L100" s="80" t="s">
        <v>41</v>
      </c>
      <c r="M100" s="79" t="s">
        <v>41</v>
      </c>
      <c r="N100" s="79" t="s">
        <v>41</v>
      </c>
      <c r="O100" s="79" t="s">
        <v>52</v>
      </c>
      <c r="P100" s="79" t="s">
        <v>52</v>
      </c>
      <c r="Q100" s="79" t="s">
        <v>52</v>
      </c>
      <c r="R100" s="79" t="s">
        <v>52</v>
      </c>
      <c r="S100" s="79" t="s">
        <v>52</v>
      </c>
      <c r="T100" s="79" t="s">
        <v>52</v>
      </c>
      <c r="U100" s="79" t="s">
        <v>52</v>
      </c>
      <c r="V100" s="79" t="s">
        <v>52</v>
      </c>
      <c r="W100" s="79" t="s">
        <v>52</v>
      </c>
      <c r="X100" s="79" t="s">
        <v>52</v>
      </c>
      <c r="Y100" s="79" t="s">
        <v>52</v>
      </c>
      <c r="Z100" s="79" t="s">
        <v>52</v>
      </c>
      <c r="AA100" s="79" t="s">
        <v>52</v>
      </c>
      <c r="AB100" s="79" t="s">
        <v>52</v>
      </c>
      <c r="AC100" s="79" t="s">
        <v>52</v>
      </c>
      <c r="AD100" s="79" t="s">
        <v>52</v>
      </c>
      <c r="AE100" s="79" t="s">
        <v>52</v>
      </c>
      <c r="AF100" s="79" t="s">
        <v>52</v>
      </c>
      <c r="AG100" s="79" t="s">
        <v>52</v>
      </c>
      <c r="AH100" s="213">
        <f>COUNTIF(B100:AG100,"P")</f>
        <v>8</v>
      </c>
      <c r="AI100" s="213">
        <f t="shared" ref="AI100" si="113">COUNTIF(C100:AG100,"P/2")</f>
        <v>0</v>
      </c>
      <c r="AJ100" s="214">
        <f t="shared" si="57"/>
        <v>24</v>
      </c>
      <c r="AK100" s="215"/>
      <c r="AL100" s="215">
        <f>AK100*AI100/2</f>
        <v>0</v>
      </c>
      <c r="AM100" s="215">
        <f>AH100*AK100+AL100</f>
        <v>0</v>
      </c>
      <c r="AN100" s="207">
        <f>AJ100/8*AK100</f>
        <v>0</v>
      </c>
      <c r="AO100" s="207">
        <f t="shared" si="110"/>
        <v>0</v>
      </c>
      <c r="AP100" s="199">
        <v>32000</v>
      </c>
      <c r="AQ100" s="199">
        <f t="shared" ref="AQ100" si="114">AP100/28</f>
        <v>1142.8571428571429</v>
      </c>
      <c r="AR100" s="199">
        <f t="shared" ref="AR100" si="115">AH100*AQ100</f>
        <v>9142.8571428571431</v>
      </c>
      <c r="AS100" s="71"/>
    </row>
    <row r="101" spans="1:45" ht="15.6" customHeight="1" x14ac:dyDescent="0.25">
      <c r="A101" s="211"/>
      <c r="B101" s="212"/>
      <c r="C101" s="78"/>
      <c r="D101" s="79"/>
      <c r="E101" s="80"/>
      <c r="F101" s="79"/>
      <c r="G101" s="79">
        <v>3</v>
      </c>
      <c r="H101" s="79">
        <v>3</v>
      </c>
      <c r="I101" s="78">
        <v>3</v>
      </c>
      <c r="J101" s="79">
        <v>3</v>
      </c>
      <c r="K101" s="79">
        <v>3</v>
      </c>
      <c r="L101" s="80">
        <v>3</v>
      </c>
      <c r="M101" s="79">
        <v>3</v>
      </c>
      <c r="N101" s="79">
        <v>3</v>
      </c>
      <c r="O101" s="79"/>
      <c r="P101" s="79"/>
      <c r="Q101" s="79"/>
      <c r="R101" s="79"/>
      <c r="S101" s="80"/>
      <c r="T101" s="79"/>
      <c r="U101" s="79"/>
      <c r="V101" s="79"/>
      <c r="W101" s="79"/>
      <c r="X101" s="79"/>
      <c r="Y101" s="79"/>
      <c r="Z101" s="80"/>
      <c r="AA101" s="79"/>
      <c r="AB101" s="79"/>
      <c r="AC101" s="79"/>
      <c r="AD101" s="79"/>
      <c r="AE101" s="79"/>
      <c r="AF101" s="79"/>
      <c r="AG101" s="80"/>
      <c r="AH101" s="213"/>
      <c r="AI101" s="213"/>
      <c r="AJ101" s="214"/>
      <c r="AK101" s="215"/>
      <c r="AL101" s="215"/>
      <c r="AM101" s="215"/>
      <c r="AN101" s="207"/>
      <c r="AO101" s="207"/>
      <c r="AP101" s="200"/>
      <c r="AQ101" s="200"/>
      <c r="AR101" s="200"/>
      <c r="AS101" s="71"/>
    </row>
    <row r="102" spans="1:45" ht="15.6" customHeight="1" x14ac:dyDescent="0.25">
      <c r="A102" s="211"/>
      <c r="B102" s="212"/>
      <c r="C102" s="78"/>
      <c r="D102" s="79"/>
      <c r="E102" s="80"/>
      <c r="F102" s="79"/>
      <c r="G102" s="79"/>
      <c r="H102" s="79"/>
      <c r="I102" s="78"/>
      <c r="J102" s="79"/>
      <c r="K102" s="79"/>
      <c r="L102" s="80"/>
      <c r="M102" s="79"/>
      <c r="N102" s="79"/>
      <c r="O102" s="79"/>
      <c r="P102" s="79"/>
      <c r="Q102" s="79"/>
      <c r="R102" s="79"/>
      <c r="S102" s="80"/>
      <c r="T102" s="79"/>
      <c r="U102" s="79"/>
      <c r="V102" s="79"/>
      <c r="W102" s="79"/>
      <c r="X102" s="79"/>
      <c r="Y102" s="79"/>
      <c r="Z102" s="80"/>
      <c r="AA102" s="79"/>
      <c r="AB102" s="79"/>
      <c r="AC102" s="79"/>
      <c r="AD102" s="79"/>
      <c r="AE102" s="79"/>
      <c r="AF102" s="79"/>
      <c r="AG102" s="80"/>
      <c r="AH102" s="213"/>
      <c r="AI102" s="213"/>
      <c r="AJ102" s="214"/>
      <c r="AK102" s="215"/>
      <c r="AL102" s="215"/>
      <c r="AM102" s="215"/>
      <c r="AN102" s="207"/>
      <c r="AO102" s="207"/>
      <c r="AP102" s="201"/>
      <c r="AQ102" s="201"/>
      <c r="AR102" s="201"/>
      <c r="AS102" s="71"/>
    </row>
    <row r="103" spans="1:45" ht="15.6" customHeight="1" x14ac:dyDescent="0.25">
      <c r="A103" s="211">
        <v>16</v>
      </c>
      <c r="B103" s="212" t="s">
        <v>141</v>
      </c>
      <c r="C103" s="79" t="s">
        <v>52</v>
      </c>
      <c r="D103" s="79" t="s">
        <v>41</v>
      </c>
      <c r="E103" s="79" t="s">
        <v>41</v>
      </c>
      <c r="F103" s="79" t="s">
        <v>41</v>
      </c>
      <c r="G103" s="79" t="s">
        <v>41</v>
      </c>
      <c r="H103" s="79" t="s">
        <v>41</v>
      </c>
      <c r="I103" s="79" t="s">
        <v>41</v>
      </c>
      <c r="J103" s="79" t="s">
        <v>41</v>
      </c>
      <c r="K103" s="79" t="s">
        <v>41</v>
      </c>
      <c r="L103" s="80" t="s">
        <v>41</v>
      </c>
      <c r="M103" s="79" t="s">
        <v>41</v>
      </c>
      <c r="N103" s="79" t="s">
        <v>41</v>
      </c>
      <c r="O103" s="79" t="s">
        <v>52</v>
      </c>
      <c r="P103" s="79" t="s">
        <v>41</v>
      </c>
      <c r="Q103" s="79" t="s">
        <v>41</v>
      </c>
      <c r="R103" s="79" t="s">
        <v>52</v>
      </c>
      <c r="S103" s="79" t="s">
        <v>52</v>
      </c>
      <c r="T103" s="79" t="s">
        <v>52</v>
      </c>
      <c r="U103" s="79" t="s">
        <v>52</v>
      </c>
      <c r="V103" s="79" t="s">
        <v>52</v>
      </c>
      <c r="W103" s="79" t="s">
        <v>52</v>
      </c>
      <c r="X103" s="79" t="s">
        <v>52</v>
      </c>
      <c r="Y103" s="79" t="s">
        <v>52</v>
      </c>
      <c r="Z103" s="79" t="s">
        <v>52</v>
      </c>
      <c r="AA103" s="79" t="s">
        <v>52</v>
      </c>
      <c r="AB103" s="79" t="s">
        <v>52</v>
      </c>
      <c r="AC103" s="79" t="s">
        <v>52</v>
      </c>
      <c r="AD103" s="79" t="s">
        <v>52</v>
      </c>
      <c r="AE103" s="79" t="s">
        <v>52</v>
      </c>
      <c r="AF103" s="79" t="s">
        <v>52</v>
      </c>
      <c r="AG103" s="79" t="s">
        <v>52</v>
      </c>
      <c r="AH103" s="213">
        <f>COUNTIF(B103:AG103,"P")</f>
        <v>13</v>
      </c>
      <c r="AI103" s="213">
        <f t="shared" ref="AI103" si="116">COUNTIF(C103:AG103,"P/2")</f>
        <v>0</v>
      </c>
      <c r="AJ103" s="214">
        <f t="shared" si="57"/>
        <v>36</v>
      </c>
      <c r="AK103" s="215"/>
      <c r="AL103" s="215">
        <f>AK103*AI103/2</f>
        <v>0</v>
      </c>
      <c r="AM103" s="215">
        <f>AH103*AK103+AL103</f>
        <v>0</v>
      </c>
      <c r="AN103" s="207">
        <f>AJ103/8*AK103</f>
        <v>0</v>
      </c>
      <c r="AO103" s="207">
        <f t="shared" si="110"/>
        <v>0</v>
      </c>
      <c r="AP103" s="199">
        <v>22000</v>
      </c>
      <c r="AQ103" s="199">
        <f t="shared" ref="AQ103" si="117">AP103/28</f>
        <v>785.71428571428567</v>
      </c>
      <c r="AR103" s="199">
        <f t="shared" ref="AR103" si="118">AH103*AQ103</f>
        <v>10214.285714285714</v>
      </c>
      <c r="AS103" s="71"/>
    </row>
    <row r="104" spans="1:45" ht="15.6" customHeight="1" x14ac:dyDescent="0.25">
      <c r="A104" s="211"/>
      <c r="B104" s="212"/>
      <c r="C104" s="78"/>
      <c r="D104" s="79"/>
      <c r="E104" s="80">
        <v>2</v>
      </c>
      <c r="F104" s="79">
        <v>3</v>
      </c>
      <c r="G104" s="79">
        <v>3</v>
      </c>
      <c r="H104" s="79">
        <v>3</v>
      </c>
      <c r="I104" s="78">
        <v>3</v>
      </c>
      <c r="J104" s="79">
        <v>3</v>
      </c>
      <c r="K104" s="79">
        <v>3</v>
      </c>
      <c r="L104" s="80">
        <v>3</v>
      </c>
      <c r="M104" s="79">
        <v>3</v>
      </c>
      <c r="N104" s="79">
        <v>5</v>
      </c>
      <c r="O104" s="79"/>
      <c r="P104" s="79">
        <v>2</v>
      </c>
      <c r="Q104" s="79">
        <v>3</v>
      </c>
      <c r="R104" s="79"/>
      <c r="S104" s="80"/>
      <c r="T104" s="79"/>
      <c r="U104" s="79"/>
      <c r="V104" s="79"/>
      <c r="W104" s="79"/>
      <c r="X104" s="79"/>
      <c r="Y104" s="79"/>
      <c r="Z104" s="80"/>
      <c r="AA104" s="79"/>
      <c r="AB104" s="79"/>
      <c r="AC104" s="79"/>
      <c r="AD104" s="79"/>
      <c r="AE104" s="79"/>
      <c r="AF104" s="79"/>
      <c r="AG104" s="80"/>
      <c r="AH104" s="213"/>
      <c r="AI104" s="213"/>
      <c r="AJ104" s="214"/>
      <c r="AK104" s="215"/>
      <c r="AL104" s="215"/>
      <c r="AM104" s="215"/>
      <c r="AN104" s="207"/>
      <c r="AO104" s="207"/>
      <c r="AP104" s="200"/>
      <c r="AQ104" s="200"/>
      <c r="AR104" s="200"/>
      <c r="AS104" s="71"/>
    </row>
    <row r="105" spans="1:45" ht="15.6" customHeight="1" thickBot="1" x14ac:dyDescent="0.3">
      <c r="A105" s="211"/>
      <c r="B105" s="212"/>
      <c r="C105" s="78"/>
      <c r="D105" s="79"/>
      <c r="E105" s="80"/>
      <c r="F105" s="79"/>
      <c r="G105" s="79"/>
      <c r="H105" s="79"/>
      <c r="I105" s="78"/>
      <c r="J105" s="79"/>
      <c r="K105" s="79"/>
      <c r="L105" s="80"/>
      <c r="M105" s="79"/>
      <c r="N105" s="79"/>
      <c r="O105" s="79"/>
      <c r="P105" s="79"/>
      <c r="Q105" s="79"/>
      <c r="R105" s="79"/>
      <c r="S105" s="80"/>
      <c r="T105" s="79"/>
      <c r="U105" s="79"/>
      <c r="V105" s="79"/>
      <c r="W105" s="79"/>
      <c r="X105" s="79"/>
      <c r="Y105" s="79"/>
      <c r="Z105" s="80"/>
      <c r="AA105" s="79"/>
      <c r="AB105" s="79"/>
      <c r="AC105" s="79"/>
      <c r="AD105" s="79"/>
      <c r="AE105" s="79"/>
      <c r="AF105" s="79"/>
      <c r="AG105" s="80"/>
      <c r="AH105" s="213"/>
      <c r="AI105" s="213"/>
      <c r="AJ105" s="214"/>
      <c r="AK105" s="215"/>
      <c r="AL105" s="215"/>
      <c r="AM105" s="215"/>
      <c r="AN105" s="207"/>
      <c r="AO105" s="207"/>
      <c r="AP105" s="201"/>
      <c r="AQ105" s="200"/>
      <c r="AR105" s="200"/>
      <c r="AS105" s="71"/>
    </row>
    <row r="106" spans="1:45" x14ac:dyDescent="0.25">
      <c r="AO106" s="195">
        <f>SUM(AO58:AO104)</f>
        <v>0</v>
      </c>
      <c r="AQ106" s="197" t="s">
        <v>110</v>
      </c>
      <c r="AR106" s="202">
        <f>SUM(AR58:AR103)</f>
        <v>202749.99999999997</v>
      </c>
    </row>
    <row r="107" spans="1:45" ht="15.75" thickBot="1" x14ac:dyDescent="0.3">
      <c r="AO107" s="196"/>
      <c r="AQ107" s="198"/>
      <c r="AR107" s="203"/>
    </row>
  </sheetData>
  <mergeCells count="408">
    <mergeCell ref="AO103:AO105"/>
    <mergeCell ref="A103:A105"/>
    <mergeCell ref="B103:B105"/>
    <mergeCell ref="AH103:AH105"/>
    <mergeCell ref="AI103:AI105"/>
    <mergeCell ref="AJ103:AJ105"/>
    <mergeCell ref="AK103:AK105"/>
    <mergeCell ref="AL103:AL105"/>
    <mergeCell ref="AM103:AM105"/>
    <mergeCell ref="AN103:AN105"/>
    <mergeCell ref="AO8:AO10"/>
    <mergeCell ref="A8:A10"/>
    <mergeCell ref="AO97:AO99"/>
    <mergeCell ref="A100:A102"/>
    <mergeCell ref="B100:B102"/>
    <mergeCell ref="AH100:AH102"/>
    <mergeCell ref="AI100:AI102"/>
    <mergeCell ref="AJ100:AJ102"/>
    <mergeCell ref="AK100:AK102"/>
    <mergeCell ref="AL100:AL102"/>
    <mergeCell ref="AM100:AM102"/>
    <mergeCell ref="AN100:AN102"/>
    <mergeCell ref="AO100:AO102"/>
    <mergeCell ref="A97:A99"/>
    <mergeCell ref="B97:B99"/>
    <mergeCell ref="AH97:AH99"/>
    <mergeCell ref="AI97:AI99"/>
    <mergeCell ref="AJ97:AJ99"/>
    <mergeCell ref="AK97:AK99"/>
    <mergeCell ref="AL97:AL99"/>
    <mergeCell ref="AM97:AM99"/>
    <mergeCell ref="AN97:AN99"/>
    <mergeCell ref="AO5:AO7"/>
    <mergeCell ref="A5:A7"/>
    <mergeCell ref="B5:B7"/>
    <mergeCell ref="AH5:AH7"/>
    <mergeCell ref="AI5:AI7"/>
    <mergeCell ref="AJ5:AJ7"/>
    <mergeCell ref="AK5:AK7"/>
    <mergeCell ref="AL5:AL7"/>
    <mergeCell ref="AM5:AM7"/>
    <mergeCell ref="A1:AJ1"/>
    <mergeCell ref="A2:AJ2"/>
    <mergeCell ref="AK2:AO2"/>
    <mergeCell ref="A3:A4"/>
    <mergeCell ref="B3:B4"/>
    <mergeCell ref="C3:AF3"/>
    <mergeCell ref="AH3:AH4"/>
    <mergeCell ref="AI3:AI4"/>
    <mergeCell ref="AJ3:AJ4"/>
    <mergeCell ref="AK3:AK4"/>
    <mergeCell ref="B8:B10"/>
    <mergeCell ref="AH8:AH10"/>
    <mergeCell ref="AI8:AI10"/>
    <mergeCell ref="AJ8:AJ10"/>
    <mergeCell ref="AK8:AK10"/>
    <mergeCell ref="AL8:AL10"/>
    <mergeCell ref="AM8:AM10"/>
    <mergeCell ref="AL3:AL4"/>
    <mergeCell ref="AN11:AN13"/>
    <mergeCell ref="AN5:AN7"/>
    <mergeCell ref="AN8:AN10"/>
    <mergeCell ref="AO11:AO13"/>
    <mergeCell ref="A14:A16"/>
    <mergeCell ref="B14:B16"/>
    <mergeCell ref="AH14:AH16"/>
    <mergeCell ref="AI14:AI16"/>
    <mergeCell ref="AJ14:AJ16"/>
    <mergeCell ref="AK14:AK16"/>
    <mergeCell ref="AL14:AL16"/>
    <mergeCell ref="AM14:AM16"/>
    <mergeCell ref="AN14:AN16"/>
    <mergeCell ref="AO14:AO16"/>
    <mergeCell ref="A11:A13"/>
    <mergeCell ref="B11:B13"/>
    <mergeCell ref="AH11:AH13"/>
    <mergeCell ref="AI11:AI13"/>
    <mergeCell ref="AJ11:AJ13"/>
    <mergeCell ref="AK11:AK13"/>
    <mergeCell ref="AL11:AL13"/>
    <mergeCell ref="AM11:AM13"/>
    <mergeCell ref="AO17:AO19"/>
    <mergeCell ref="A20:A22"/>
    <mergeCell ref="B20:B22"/>
    <mergeCell ref="AH20:AH22"/>
    <mergeCell ref="AI20:AI22"/>
    <mergeCell ref="AJ20:AJ22"/>
    <mergeCell ref="AK20:AK22"/>
    <mergeCell ref="AL20:AL22"/>
    <mergeCell ref="AM20:AM22"/>
    <mergeCell ref="AN20:AN22"/>
    <mergeCell ref="AO20:AO22"/>
    <mergeCell ref="A17:A19"/>
    <mergeCell ref="B17:B19"/>
    <mergeCell ref="AH17:AH19"/>
    <mergeCell ref="AI17:AI19"/>
    <mergeCell ref="AJ17:AJ19"/>
    <mergeCell ref="AK17:AK19"/>
    <mergeCell ref="AL17:AL19"/>
    <mergeCell ref="AM17:AM19"/>
    <mergeCell ref="AN17:AN19"/>
    <mergeCell ref="AO23:AO25"/>
    <mergeCell ref="A26:A28"/>
    <mergeCell ref="B26:B28"/>
    <mergeCell ref="AH26:AH28"/>
    <mergeCell ref="AI26:AI28"/>
    <mergeCell ref="AJ26:AJ28"/>
    <mergeCell ref="AK26:AK28"/>
    <mergeCell ref="AL26:AL28"/>
    <mergeCell ref="AM26:AM28"/>
    <mergeCell ref="AN26:AN28"/>
    <mergeCell ref="AO26:AO28"/>
    <mergeCell ref="A23:A25"/>
    <mergeCell ref="B23:B25"/>
    <mergeCell ref="AH23:AH25"/>
    <mergeCell ref="AI23:AI25"/>
    <mergeCell ref="AJ23:AJ25"/>
    <mergeCell ref="AK23:AK25"/>
    <mergeCell ref="AL23:AL25"/>
    <mergeCell ref="AM23:AM25"/>
    <mergeCell ref="AN23:AN25"/>
    <mergeCell ref="AM35:AM37"/>
    <mergeCell ref="AN35:AN37"/>
    <mergeCell ref="AO29:AO31"/>
    <mergeCell ref="A32:A34"/>
    <mergeCell ref="B32:B34"/>
    <mergeCell ref="AH32:AH34"/>
    <mergeCell ref="AI32:AI34"/>
    <mergeCell ref="AJ32:AJ34"/>
    <mergeCell ref="AK32:AK34"/>
    <mergeCell ref="AL32:AL34"/>
    <mergeCell ref="AM32:AM34"/>
    <mergeCell ref="AN32:AN34"/>
    <mergeCell ref="AO32:AO34"/>
    <mergeCell ref="A29:A31"/>
    <mergeCell ref="B29:B31"/>
    <mergeCell ref="AH29:AH31"/>
    <mergeCell ref="AI29:AI31"/>
    <mergeCell ref="AJ29:AJ31"/>
    <mergeCell ref="AK29:AK31"/>
    <mergeCell ref="AL29:AL31"/>
    <mergeCell ref="AM29:AM31"/>
    <mergeCell ref="AN29:AN31"/>
    <mergeCell ref="AI41:AI43"/>
    <mergeCell ref="AJ41:AJ43"/>
    <mergeCell ref="AK41:AK43"/>
    <mergeCell ref="AL41:AL43"/>
    <mergeCell ref="AM41:AM43"/>
    <mergeCell ref="A44:AF44"/>
    <mergeCell ref="AO35:AO37"/>
    <mergeCell ref="A38:A40"/>
    <mergeCell ref="B38:B40"/>
    <mergeCell ref="AH38:AH40"/>
    <mergeCell ref="AI38:AI40"/>
    <mergeCell ref="AJ38:AJ40"/>
    <mergeCell ref="AK38:AK40"/>
    <mergeCell ref="AL38:AL40"/>
    <mergeCell ref="AM38:AM40"/>
    <mergeCell ref="AN38:AN40"/>
    <mergeCell ref="AO38:AO40"/>
    <mergeCell ref="A35:A37"/>
    <mergeCell ref="B35:B37"/>
    <mergeCell ref="AH35:AH37"/>
    <mergeCell ref="AI35:AI37"/>
    <mergeCell ref="AJ35:AJ37"/>
    <mergeCell ref="AK35:AK37"/>
    <mergeCell ref="AL35:AL37"/>
    <mergeCell ref="A46:A48"/>
    <mergeCell ref="B46:B48"/>
    <mergeCell ref="AH46:AH48"/>
    <mergeCell ref="AI46:AI48"/>
    <mergeCell ref="AJ46:AJ48"/>
    <mergeCell ref="AK46:AK48"/>
    <mergeCell ref="AN41:AN43"/>
    <mergeCell ref="AO41:AO43"/>
    <mergeCell ref="AQ49:AQ51"/>
    <mergeCell ref="A49:A51"/>
    <mergeCell ref="B49:B51"/>
    <mergeCell ref="AH49:AH51"/>
    <mergeCell ref="AI49:AI51"/>
    <mergeCell ref="AJ49:AJ51"/>
    <mergeCell ref="AK49:AK51"/>
    <mergeCell ref="AL46:AL48"/>
    <mergeCell ref="AM46:AM48"/>
    <mergeCell ref="AN46:AN48"/>
    <mergeCell ref="AO46:AO48"/>
    <mergeCell ref="AP46:AP48"/>
    <mergeCell ref="AQ46:AQ48"/>
    <mergeCell ref="A41:A43"/>
    <mergeCell ref="B41:B43"/>
    <mergeCell ref="AH41:AH43"/>
    <mergeCell ref="AO52:AO54"/>
    <mergeCell ref="AP52:AP54"/>
    <mergeCell ref="A52:A54"/>
    <mergeCell ref="B52:B54"/>
    <mergeCell ref="AH52:AH54"/>
    <mergeCell ref="AI52:AI54"/>
    <mergeCell ref="AJ52:AJ54"/>
    <mergeCell ref="AL49:AL51"/>
    <mergeCell ref="AM49:AM51"/>
    <mergeCell ref="AN49:AN51"/>
    <mergeCell ref="AO49:AO51"/>
    <mergeCell ref="AP49:AP51"/>
    <mergeCell ref="A55:AF55"/>
    <mergeCell ref="AL57:AN57"/>
    <mergeCell ref="AK58:AK60"/>
    <mergeCell ref="AL58:AL60"/>
    <mergeCell ref="AM58:AM60"/>
    <mergeCell ref="AN58:AN60"/>
    <mergeCell ref="AK52:AK54"/>
    <mergeCell ref="AL52:AL54"/>
    <mergeCell ref="AM52:AM54"/>
    <mergeCell ref="AN52:AN54"/>
    <mergeCell ref="AO58:AO60"/>
    <mergeCell ref="A61:A63"/>
    <mergeCell ref="B61:B63"/>
    <mergeCell ref="AH61:AH63"/>
    <mergeCell ref="AI61:AI63"/>
    <mergeCell ref="AJ61:AJ63"/>
    <mergeCell ref="AK61:AK63"/>
    <mergeCell ref="AL61:AL63"/>
    <mergeCell ref="AM61:AM63"/>
    <mergeCell ref="AN61:AN63"/>
    <mergeCell ref="A58:A60"/>
    <mergeCell ref="B58:B60"/>
    <mergeCell ref="AH58:AH60"/>
    <mergeCell ref="AI58:AI60"/>
    <mergeCell ref="AJ58:AJ60"/>
    <mergeCell ref="AO61:AO63"/>
    <mergeCell ref="AO64:AO66"/>
    <mergeCell ref="A67:A69"/>
    <mergeCell ref="B67:B69"/>
    <mergeCell ref="AH67:AH69"/>
    <mergeCell ref="AI67:AI69"/>
    <mergeCell ref="AJ67:AJ69"/>
    <mergeCell ref="AK67:AK69"/>
    <mergeCell ref="AL67:AL69"/>
    <mergeCell ref="AM67:AM69"/>
    <mergeCell ref="AN67:AN69"/>
    <mergeCell ref="AO67:AO69"/>
    <mergeCell ref="A64:A66"/>
    <mergeCell ref="B64:B66"/>
    <mergeCell ref="AH64:AH66"/>
    <mergeCell ref="AI64:AI66"/>
    <mergeCell ref="AJ64:AJ66"/>
    <mergeCell ref="AK64:AK66"/>
    <mergeCell ref="AL64:AL66"/>
    <mergeCell ref="AM64:AM66"/>
    <mergeCell ref="AN64:AN66"/>
    <mergeCell ref="AO70:AO72"/>
    <mergeCell ref="A73:A75"/>
    <mergeCell ref="B73:B75"/>
    <mergeCell ref="AH73:AH75"/>
    <mergeCell ref="AI73:AI75"/>
    <mergeCell ref="AJ73:AJ75"/>
    <mergeCell ref="AK73:AK75"/>
    <mergeCell ref="AL73:AL75"/>
    <mergeCell ref="AM73:AM75"/>
    <mergeCell ref="AN73:AN75"/>
    <mergeCell ref="AO73:AO75"/>
    <mergeCell ref="A70:A72"/>
    <mergeCell ref="B70:B72"/>
    <mergeCell ref="AH70:AH72"/>
    <mergeCell ref="AI70:AI72"/>
    <mergeCell ref="AJ70:AJ72"/>
    <mergeCell ref="AK70:AK72"/>
    <mergeCell ref="AL70:AL72"/>
    <mergeCell ref="AM70:AM72"/>
    <mergeCell ref="AN70:AN72"/>
    <mergeCell ref="AO76:AO78"/>
    <mergeCell ref="A79:A81"/>
    <mergeCell ref="B79:B81"/>
    <mergeCell ref="AH79:AH81"/>
    <mergeCell ref="AI79:AI81"/>
    <mergeCell ref="AJ79:AJ81"/>
    <mergeCell ref="AK79:AK81"/>
    <mergeCell ref="AL79:AL81"/>
    <mergeCell ref="AM79:AM81"/>
    <mergeCell ref="AN79:AN81"/>
    <mergeCell ref="AO79:AO81"/>
    <mergeCell ref="A76:A78"/>
    <mergeCell ref="B76:B78"/>
    <mergeCell ref="AH76:AH78"/>
    <mergeCell ref="AI76:AI78"/>
    <mergeCell ref="AJ76:AJ78"/>
    <mergeCell ref="AK76:AK78"/>
    <mergeCell ref="AL76:AL78"/>
    <mergeCell ref="AM76:AM78"/>
    <mergeCell ref="AN76:AN78"/>
    <mergeCell ref="AO82:AO84"/>
    <mergeCell ref="A85:A87"/>
    <mergeCell ref="B85:B87"/>
    <mergeCell ref="AH85:AH87"/>
    <mergeCell ref="AI85:AI87"/>
    <mergeCell ref="AJ85:AJ87"/>
    <mergeCell ref="AK85:AK87"/>
    <mergeCell ref="AL85:AL87"/>
    <mergeCell ref="AM85:AM87"/>
    <mergeCell ref="AN85:AN87"/>
    <mergeCell ref="AO85:AO87"/>
    <mergeCell ref="A82:A84"/>
    <mergeCell ref="B82:B84"/>
    <mergeCell ref="AH82:AH84"/>
    <mergeCell ref="AI82:AI84"/>
    <mergeCell ref="AJ82:AJ84"/>
    <mergeCell ref="AK82:AK84"/>
    <mergeCell ref="AL82:AL84"/>
    <mergeCell ref="AM82:AM84"/>
    <mergeCell ref="AN82:AN84"/>
    <mergeCell ref="A88:A90"/>
    <mergeCell ref="B88:B90"/>
    <mergeCell ref="AH88:AH90"/>
    <mergeCell ref="AI88:AI90"/>
    <mergeCell ref="AJ88:AJ90"/>
    <mergeCell ref="AK88:AK90"/>
    <mergeCell ref="AL88:AL90"/>
    <mergeCell ref="AM88:AM90"/>
    <mergeCell ref="AN88:AN90"/>
    <mergeCell ref="AO94:AO96"/>
    <mergeCell ref="AQ52:AQ54"/>
    <mergeCell ref="A45:AF45"/>
    <mergeCell ref="A57:AF57"/>
    <mergeCell ref="AO91:AO93"/>
    <mergeCell ref="A94:A96"/>
    <mergeCell ref="B94:B96"/>
    <mergeCell ref="AH94:AH96"/>
    <mergeCell ref="AI94:AI96"/>
    <mergeCell ref="AJ94:AJ96"/>
    <mergeCell ref="AK94:AK96"/>
    <mergeCell ref="AL94:AL96"/>
    <mergeCell ref="AM94:AM96"/>
    <mergeCell ref="AN94:AN96"/>
    <mergeCell ref="AO88:AO90"/>
    <mergeCell ref="A91:A93"/>
    <mergeCell ref="B91:B93"/>
    <mergeCell ref="AH91:AH93"/>
    <mergeCell ref="AI91:AI93"/>
    <mergeCell ref="AJ91:AJ93"/>
    <mergeCell ref="AK91:AK93"/>
    <mergeCell ref="AL91:AL93"/>
    <mergeCell ref="AM91:AM93"/>
    <mergeCell ref="AN91:AN93"/>
    <mergeCell ref="AQ103:AQ105"/>
    <mergeCell ref="AP58:AP60"/>
    <mergeCell ref="AP61:AP63"/>
    <mergeCell ref="AP64:AP66"/>
    <mergeCell ref="AP67:AP69"/>
    <mergeCell ref="AP70:AP72"/>
    <mergeCell ref="AP73:AP75"/>
    <mergeCell ref="AP76:AP78"/>
    <mergeCell ref="AP79:AP81"/>
    <mergeCell ref="AP82:AP84"/>
    <mergeCell ref="AS58:AS60"/>
    <mergeCell ref="AR61:AR63"/>
    <mergeCell ref="AR64:AR66"/>
    <mergeCell ref="AR67:AR69"/>
    <mergeCell ref="AR70:AR72"/>
    <mergeCell ref="AR73:AR75"/>
    <mergeCell ref="AR76:AR78"/>
    <mergeCell ref="AR79:AR81"/>
    <mergeCell ref="AP85:AP87"/>
    <mergeCell ref="AQ58:AQ60"/>
    <mergeCell ref="AQ61:AQ63"/>
    <mergeCell ref="AQ64:AQ66"/>
    <mergeCell ref="AQ67:AQ69"/>
    <mergeCell ref="AQ70:AQ72"/>
    <mergeCell ref="AQ73:AQ75"/>
    <mergeCell ref="AQ76:AQ78"/>
    <mergeCell ref="AQ79:AQ81"/>
    <mergeCell ref="AQ82:AQ84"/>
    <mergeCell ref="AQ85:AQ87"/>
    <mergeCell ref="AR46:AR48"/>
    <mergeCell ref="AO106:AO107"/>
    <mergeCell ref="AQ106:AQ107"/>
    <mergeCell ref="AR82:AR84"/>
    <mergeCell ref="AR85:AR87"/>
    <mergeCell ref="AR88:AR90"/>
    <mergeCell ref="AR91:AR93"/>
    <mergeCell ref="AR94:AR96"/>
    <mergeCell ref="AR97:AR99"/>
    <mergeCell ref="AR100:AR102"/>
    <mergeCell ref="AR103:AR105"/>
    <mergeCell ref="AR106:AR107"/>
    <mergeCell ref="AR58:AR60"/>
    <mergeCell ref="AP88:AP90"/>
    <mergeCell ref="AP91:AP93"/>
    <mergeCell ref="AP94:AP96"/>
    <mergeCell ref="AP97:AP99"/>
    <mergeCell ref="AP100:AP102"/>
    <mergeCell ref="AP103:AP105"/>
    <mergeCell ref="AQ88:AQ90"/>
    <mergeCell ref="AQ91:AQ93"/>
    <mergeCell ref="AQ94:AQ96"/>
    <mergeCell ref="AQ97:AQ99"/>
    <mergeCell ref="AQ100:AQ102"/>
    <mergeCell ref="AP32:AP34"/>
    <mergeCell ref="AP35:AP37"/>
    <mergeCell ref="AP38:AP40"/>
    <mergeCell ref="AP41:AP43"/>
    <mergeCell ref="AP5:AP7"/>
    <mergeCell ref="AP8:AP10"/>
    <mergeCell ref="AP11:AP13"/>
    <mergeCell ref="AP14:AP16"/>
    <mergeCell ref="AP17:AP19"/>
    <mergeCell ref="AP20:AP22"/>
    <mergeCell ref="AP23:AP25"/>
    <mergeCell ref="AP26:AP28"/>
    <mergeCell ref="AP29:AP31"/>
  </mergeCells>
  <conditionalFormatting sqref="C21:H25 C27:H28 C26:L26 C18:H19 C12:H16 C9:H10 C6:H7 C30:H33 C34:F34 C35:L35 C8:S8 C11:S11 J9:S10 C17:AG17 C5:AG5 C41:AG41 C58:AG58 J6:AG7 J30:AG31 J33:AG34 J21:AG25 AB26:AG26 J27:AG28 C20:AG20 AD46:AG47 O48:AG48 O51:AG51 X49:AG49 AA8:AG11 AC50:AG50 J12:AG16 J18:AG19 C29:AG29 AA32:AG32 J36:AG37 N35:AG35 J39:AG40 AA38:AG38 J42:AG43 AA62:AG64 AB85:AG85 O54:AG54 X52:AG52 J74:AG75 AB79:AG79 J80:AG81 J72:AG72 J66:AG69 AA70:AG70 J59:AG60 J83:AG84 M82:AG82 J86:AG87 J89:AG90 AB88:AG88 J92:AG93 AB91:AG91 J96:AG96 AC53:AG53 AB61:AG61 J77:AG78 AB76:AG76 C73:AG73 C94:AG94 J65:Y65 AG65 J71:Y71 AG71 J95:Y95 AG95">
    <cfRule type="containsText" dxfId="368" priority="550" operator="containsText" text="AB">
      <formula>NOT(ISERROR(SEARCH("AB",C5)))</formula>
    </cfRule>
  </conditionalFormatting>
  <conditionalFormatting sqref="A4 AM4:AO4 AO57 A55 AU49:XFD51 AP2:XFD2 AS3:XFD4 AR3 AT45:XFD48 AH55:AO55 A57 A8:A13 AP55:XFD57 AS5:AV7 AR8:AV28 AW5:XFD28 A17:A22 A26:A31 A35:A40 AH57:AL57 C26:L26 C9:H10 C32:H33 C34:F34 C35:L35 C6:S8 C11:S16 J9:S10 T6:AG7 C17:AG25 A5:AG5 C41:AG43 A58:AG58 A56:AO56 A2:AK2 A3:AO3 A1:XFD1 A106:XFD106 C4:AJ4 C27:AG31 J33:AG34 AB26:AG26 AD46:AG47 O48:AG48 X49:AG49 AA8:AG11 AC50:AG50 T12:AG16 AA32:AG32 J74:AG75 C36:AG37 N35:AG35 J39:AG40 AA38:AG38 C83:AG84 AA62:AG64 AB85:AG85 AA70:AG70 X52:AG52 I59:AG60 AB79:AG79 J80:AG81 J72:AG72 J66:AG69 J86:AG87 M82:AG82 C89:AG90 AB88:AG88 J92:AG93 AB91:AG91 AC53:AG53 AB61:AG61 J77:AG78 AB76:AG76 C73:AG73 O51:AG51 O54:AG54 AH5:AI43 A64 A70 A76 A82 A88 A94 A100 C94:AG94 J65:Y65 AG65 J71:Y71 AG71 C96:AG96 C95:Y95 AG95 A108:XFD1048576 AS107:XFD107 A107:AN107 AP107">
    <cfRule type="containsText" dxfId="367" priority="731" operator="containsText" text="AB">
      <formula>NOT(ISERROR(SEARCH("AB",A1)))</formula>
    </cfRule>
    <cfRule type="containsText" dxfId="366" priority="732" operator="containsText" text="AB">
      <formula>NOT(ISERROR(SEARCH("AB",A1)))</formula>
    </cfRule>
  </conditionalFormatting>
  <conditionalFormatting sqref="A6:A7 A15:A16 A24:A25 A33:A34 A42:A43">
    <cfRule type="containsText" dxfId="365" priority="539" operator="containsText" text="AB">
      <formula>NOT(ISERROR(SEARCH("AB",A6)))</formula>
    </cfRule>
    <cfRule type="containsText" dxfId="364" priority="540" operator="containsText" text="AB">
      <formula>NOT(ISERROR(SEARCH("AB",A6)))</formula>
    </cfRule>
  </conditionalFormatting>
  <conditionalFormatting sqref="AK5 A14 A23 A32 A41">
    <cfRule type="containsText" dxfId="363" priority="536" operator="containsText" text="AB">
      <formula>NOT(ISERROR(SEARCH("AB",A5)))</formula>
    </cfRule>
    <cfRule type="containsText" dxfId="362" priority="537" operator="containsText" text="AB">
      <formula>NOT(ISERROR(SEARCH("AB",A5)))</formula>
    </cfRule>
  </conditionalFormatting>
  <conditionalFormatting sqref="AR32:XFD34">
    <cfRule type="containsText" dxfId="361" priority="530" operator="containsText" text="AB">
      <formula>NOT(ISERROR(SEARCH("AB",AR32)))</formula>
    </cfRule>
    <cfRule type="containsText" dxfId="360" priority="531" operator="containsText" text="AB">
      <formula>NOT(ISERROR(SEARCH("AB",AR32)))</formula>
    </cfRule>
  </conditionalFormatting>
  <conditionalFormatting sqref="AR29:XFD31">
    <cfRule type="containsText" dxfId="359" priority="527" operator="containsText" text="AB">
      <formula>NOT(ISERROR(SEARCH("AB",AR29)))</formula>
    </cfRule>
    <cfRule type="containsText" dxfId="358" priority="528" operator="containsText" text="AB">
      <formula>NOT(ISERROR(SEARCH("AB",AR29)))</formula>
    </cfRule>
  </conditionalFormatting>
  <conditionalFormatting sqref="H34">
    <cfRule type="containsText" dxfId="357" priority="516" operator="containsText" text="AB">
      <formula>NOT(ISERROR(SEARCH("AB",H34)))</formula>
    </cfRule>
  </conditionalFormatting>
  <conditionalFormatting sqref="I32:I34 H34">
    <cfRule type="containsText" dxfId="356" priority="514" operator="containsText" text="AB">
      <formula>NOT(ISERROR(SEARCH("AB",H32)))</formula>
    </cfRule>
    <cfRule type="containsText" dxfId="355" priority="515" operator="containsText" text="AB">
      <formula>NOT(ISERROR(SEARCH("AB",H32)))</formula>
    </cfRule>
  </conditionalFormatting>
  <conditionalFormatting sqref="T8:Z8">
    <cfRule type="containsText" dxfId="354" priority="553" operator="containsText" text="AB">
      <formula>NOT(ISERROR(SEARCH("AB",T8)))</formula>
    </cfRule>
    <cfRule type="containsText" dxfId="353" priority="554" operator="containsText" text="AB">
      <formula>NOT(ISERROR(SEARCH("AB",T8)))</formula>
    </cfRule>
  </conditionalFormatting>
  <conditionalFormatting sqref="AL20">
    <cfRule type="containsText" dxfId="352" priority="690" operator="containsText" text="AB">
      <formula>NOT(ISERROR(SEARCH("AB",AL20)))</formula>
    </cfRule>
    <cfRule type="containsText" dxfId="351" priority="691" operator="containsText" text="AB">
      <formula>NOT(ISERROR(SEARCH("AB",AL20)))</formula>
    </cfRule>
  </conditionalFormatting>
  <conditionalFormatting sqref="AL23">
    <cfRule type="containsText" dxfId="350" priority="685" operator="containsText" text="AB">
      <formula>NOT(ISERROR(SEARCH("AB",AL23)))</formula>
    </cfRule>
    <cfRule type="containsText" dxfId="349" priority="686" operator="containsText" text="AB">
      <formula>NOT(ISERROR(SEARCH("AB",AL23)))</formula>
    </cfRule>
  </conditionalFormatting>
  <conditionalFormatting sqref="B49">
    <cfRule type="containsText" dxfId="348" priority="591" operator="containsText" text="AB">
      <formula>NOT(ISERROR(SEARCH("AB",B49)))</formula>
    </cfRule>
    <cfRule type="containsText" dxfId="347" priority="592" operator="containsText" text="AB">
      <formula>NOT(ISERROR(SEARCH("AB",B49)))</formula>
    </cfRule>
  </conditionalFormatting>
  <conditionalFormatting sqref="AL26">
    <cfRule type="containsText" dxfId="346" priority="680" operator="containsText" text="AB">
      <formula>NOT(ISERROR(SEARCH("AB",AL26)))</formula>
    </cfRule>
    <cfRule type="containsText" dxfId="345" priority="681" operator="containsText" text="AB">
      <formula>NOT(ISERROR(SEARCH("AB",AL26)))</formula>
    </cfRule>
  </conditionalFormatting>
  <conditionalFormatting sqref="M26:AA26">
    <cfRule type="containsText" dxfId="344" priority="677" operator="containsText" text="AB">
      <formula>NOT(ISERROR(SEARCH("AB",M26)))</formula>
    </cfRule>
  </conditionalFormatting>
  <conditionalFormatting sqref="M26:AA26">
    <cfRule type="containsText" dxfId="343" priority="675" operator="containsText" text="AB">
      <formula>NOT(ISERROR(SEARCH("AB",M26)))</formula>
    </cfRule>
    <cfRule type="containsText" dxfId="342" priority="676" operator="containsText" text="AB">
      <formula>NOT(ISERROR(SEARCH("AB",M26)))</formula>
    </cfRule>
  </conditionalFormatting>
  <conditionalFormatting sqref="N48 AK46:AN46">
    <cfRule type="containsText" dxfId="341" priority="666" operator="containsText" text="AB">
      <formula>NOT(ISERROR(SEARCH("AB",N46)))</formula>
    </cfRule>
    <cfRule type="containsText" dxfId="340" priority="667" operator="containsText" text="AB">
      <formula>NOT(ISERROR(SEARCH("AB",N46)))</formula>
    </cfRule>
  </conditionalFormatting>
  <conditionalFormatting sqref="N48">
    <cfRule type="containsText" dxfId="339" priority="668" operator="containsText" text="AB">
      <formula>NOT(ISERROR(SEARCH("AB",N48)))</formula>
    </cfRule>
  </conditionalFormatting>
  <conditionalFormatting sqref="C48:M48">
    <cfRule type="containsText" dxfId="338" priority="665" operator="containsText" text="AB">
      <formula>NOT(ISERROR(SEARCH("AB",C48)))</formula>
    </cfRule>
  </conditionalFormatting>
  <conditionalFormatting sqref="A46:A48 C48:M48">
    <cfRule type="containsText" dxfId="337" priority="663" operator="containsText" text="AB">
      <formula>NOT(ISERROR(SEARCH("AB",A46)))</formula>
    </cfRule>
    <cfRule type="containsText" dxfId="336" priority="664" operator="containsText" text="AB">
      <formula>NOT(ISERROR(SEARCH("AB",A46)))</formula>
    </cfRule>
  </conditionalFormatting>
  <conditionalFormatting sqref="B46">
    <cfRule type="containsText" dxfId="335" priority="636" operator="containsText" text="AB">
      <formula>NOT(ISERROR(SEARCH("AB",B46)))</formula>
    </cfRule>
    <cfRule type="containsText" dxfId="334" priority="637" operator="containsText" text="AB">
      <formula>NOT(ISERROR(SEARCH("AB",B46)))</formula>
    </cfRule>
  </conditionalFormatting>
  <conditionalFormatting sqref="N50:N51">
    <cfRule type="containsText" dxfId="333" priority="629" operator="containsText" text="AB">
      <formula>NOT(ISERROR(SEARCH("AB",N50)))</formula>
    </cfRule>
  </conditionalFormatting>
  <conditionalFormatting sqref="N50:N51 AK49:AO49">
    <cfRule type="containsText" dxfId="332" priority="627" operator="containsText" text="AB">
      <formula>NOT(ISERROR(SEARCH("AB",N49)))</formula>
    </cfRule>
    <cfRule type="containsText" dxfId="331" priority="628" operator="containsText" text="AB">
      <formula>NOT(ISERROR(SEARCH("AB",N49)))</formula>
    </cfRule>
  </conditionalFormatting>
  <conditionalFormatting sqref="C51:M51">
    <cfRule type="containsText" dxfId="330" priority="626" operator="containsText" text="AB">
      <formula>NOT(ISERROR(SEARCH("AB",C51)))</formula>
    </cfRule>
  </conditionalFormatting>
  <conditionalFormatting sqref="C51:M51">
    <cfRule type="containsText" dxfId="329" priority="624" operator="containsText" text="AB">
      <formula>NOT(ISERROR(SEARCH("AB",C51)))</formula>
    </cfRule>
    <cfRule type="containsText" dxfId="328" priority="625" operator="containsText" text="AB">
      <formula>NOT(ISERROR(SEARCH("AB",C51)))</formula>
    </cfRule>
  </conditionalFormatting>
  <conditionalFormatting sqref="C50:M50">
    <cfRule type="containsText" dxfId="327" priority="623" operator="containsText" text="AB">
      <formula>NOT(ISERROR(SEARCH("AB",C50)))</formula>
    </cfRule>
  </conditionalFormatting>
  <conditionalFormatting sqref="C50:M50">
    <cfRule type="containsText" dxfId="326" priority="621" operator="containsText" text="AB">
      <formula>NOT(ISERROR(SEARCH("AB",C50)))</formula>
    </cfRule>
    <cfRule type="containsText" dxfId="325" priority="622" operator="containsText" text="AB">
      <formula>NOT(ISERROR(SEARCH("AB",C50)))</formula>
    </cfRule>
  </conditionalFormatting>
  <conditionalFormatting sqref="T50">
    <cfRule type="containsText" dxfId="324" priority="603" operator="containsText" text="AB">
      <formula>NOT(ISERROR(SEARCH("AB",T50)))</formula>
    </cfRule>
    <cfRule type="containsText" dxfId="323" priority="604" operator="containsText" text="AB">
      <formula>NOT(ISERROR(SEARCH("AB",T50)))</formula>
    </cfRule>
  </conditionalFormatting>
  <conditionalFormatting sqref="O50">
    <cfRule type="containsText" dxfId="322" priority="620" operator="containsText" text="AB">
      <formula>NOT(ISERROR(SEARCH("AB",O50)))</formula>
    </cfRule>
  </conditionalFormatting>
  <conditionalFormatting sqref="O50">
    <cfRule type="containsText" dxfId="321" priority="618" operator="containsText" text="AB">
      <formula>NOT(ISERROR(SEARCH("AB",O50)))</formula>
    </cfRule>
    <cfRule type="containsText" dxfId="320" priority="619" operator="containsText" text="AB">
      <formula>NOT(ISERROR(SEARCH("AB",O50)))</formula>
    </cfRule>
  </conditionalFormatting>
  <conditionalFormatting sqref="P50">
    <cfRule type="containsText" dxfId="319" priority="617" operator="containsText" text="AB">
      <formula>NOT(ISERROR(SEARCH("AB",P50)))</formula>
    </cfRule>
  </conditionalFormatting>
  <conditionalFormatting sqref="P50">
    <cfRule type="containsText" dxfId="318" priority="615" operator="containsText" text="AB">
      <formula>NOT(ISERROR(SEARCH("AB",P50)))</formula>
    </cfRule>
    <cfRule type="containsText" dxfId="317" priority="616" operator="containsText" text="AB">
      <formula>NOT(ISERROR(SEARCH("AB",P50)))</formula>
    </cfRule>
  </conditionalFormatting>
  <conditionalFormatting sqref="Q50">
    <cfRule type="containsText" dxfId="316" priority="614" operator="containsText" text="AB">
      <formula>NOT(ISERROR(SEARCH("AB",Q50)))</formula>
    </cfRule>
  </conditionalFormatting>
  <conditionalFormatting sqref="Q50">
    <cfRule type="containsText" dxfId="315" priority="612" operator="containsText" text="AB">
      <formula>NOT(ISERROR(SEARCH("AB",Q50)))</formula>
    </cfRule>
    <cfRule type="containsText" dxfId="314" priority="613" operator="containsText" text="AB">
      <formula>NOT(ISERROR(SEARCH("AB",Q50)))</formula>
    </cfRule>
  </conditionalFormatting>
  <conditionalFormatting sqref="R50:S50">
    <cfRule type="containsText" dxfId="313" priority="611" operator="containsText" text="AB">
      <formula>NOT(ISERROR(SEARCH("AB",R50)))</formula>
    </cfRule>
  </conditionalFormatting>
  <conditionalFormatting sqref="R50:S50">
    <cfRule type="containsText" dxfId="312" priority="609" operator="containsText" text="AB">
      <formula>NOT(ISERROR(SEARCH("AB",R50)))</formula>
    </cfRule>
    <cfRule type="containsText" dxfId="311" priority="610" operator="containsText" text="AB">
      <formula>NOT(ISERROR(SEARCH("AB",R50)))</formula>
    </cfRule>
  </conditionalFormatting>
  <conditionalFormatting sqref="AL11 AL14">
    <cfRule type="containsText" dxfId="310" priority="563" operator="containsText" text="AB">
      <formula>NOT(ISERROR(SEARCH("AB",AL11)))</formula>
    </cfRule>
    <cfRule type="containsText" dxfId="309" priority="564" operator="containsText" text="AB">
      <formula>NOT(ISERROR(SEARCH("AB",AL11)))</formula>
    </cfRule>
  </conditionalFormatting>
  <conditionalFormatting sqref="T50">
    <cfRule type="containsText" dxfId="308" priority="605" operator="containsText" text="AB">
      <formula>NOT(ISERROR(SEARCH("AB",T50)))</formula>
    </cfRule>
  </conditionalFormatting>
  <conditionalFormatting sqref="U50:AA50">
    <cfRule type="containsText" dxfId="307" priority="602" operator="containsText" text="AB">
      <formula>NOT(ISERROR(SEARCH("AB",U50)))</formula>
    </cfRule>
  </conditionalFormatting>
  <conditionalFormatting sqref="U50:AA50">
    <cfRule type="containsText" dxfId="306" priority="600" operator="containsText" text="AB">
      <formula>NOT(ISERROR(SEARCH("AB",U50)))</formula>
    </cfRule>
    <cfRule type="containsText" dxfId="305" priority="601" operator="containsText" text="AB">
      <formula>NOT(ISERROR(SEARCH("AB",U50)))</formula>
    </cfRule>
  </conditionalFormatting>
  <conditionalFormatting sqref="AB50">
    <cfRule type="containsText" dxfId="304" priority="599" operator="containsText" text="AB">
      <formula>NOT(ISERROR(SEARCH("AB",AB50)))</formula>
    </cfRule>
  </conditionalFormatting>
  <conditionalFormatting sqref="AB50">
    <cfRule type="containsText" dxfId="303" priority="597" operator="containsText" text="AB">
      <formula>NOT(ISERROR(SEARCH("AB",AB50)))</formula>
    </cfRule>
    <cfRule type="containsText" dxfId="302" priority="598" operator="containsText" text="AB">
      <formula>NOT(ISERROR(SEARCH("AB",AB50)))</formula>
    </cfRule>
  </conditionalFormatting>
  <conditionalFormatting sqref="AB50">
    <cfRule type="containsText" dxfId="301" priority="596" operator="containsText" text="AB">
      <formula>NOT(ISERROR(SEARCH("AB",AB50)))</formula>
    </cfRule>
  </conditionalFormatting>
  <conditionalFormatting sqref="C49:W49">
    <cfRule type="containsText" dxfId="300" priority="595" operator="containsText" text="AB">
      <formula>NOT(ISERROR(SEARCH("AB",C49)))</formula>
    </cfRule>
  </conditionalFormatting>
  <conditionalFormatting sqref="C49:W49">
    <cfRule type="containsText" dxfId="299" priority="593" operator="containsText" text="AB">
      <formula>NOT(ISERROR(SEARCH("AB",C49)))</formula>
    </cfRule>
    <cfRule type="containsText" dxfId="298" priority="594" operator="containsText" text="AB">
      <formula>NOT(ISERROR(SEARCH("AB",C49)))</formula>
    </cfRule>
  </conditionalFormatting>
  <conditionalFormatting sqref="A49:A51">
    <cfRule type="containsText" dxfId="297" priority="589" operator="containsText" text="AB">
      <formula>NOT(ISERROR(SEARCH("AB",A49)))</formula>
    </cfRule>
    <cfRule type="containsText" dxfId="296" priority="590" operator="containsText" text="AB">
      <formula>NOT(ISERROR(SEARCH("AB",A49)))</formula>
    </cfRule>
  </conditionalFormatting>
  <conditionalFormatting sqref="I9:I10">
    <cfRule type="containsText" dxfId="295" priority="586" operator="containsText" text="AB">
      <formula>NOT(ISERROR(SEARCH("AB",I9)))</formula>
    </cfRule>
    <cfRule type="containsText" dxfId="294" priority="587" operator="containsText" text="AB">
      <formula>NOT(ISERROR(SEARCH("AB",I9)))</formula>
    </cfRule>
  </conditionalFormatting>
  <conditionalFormatting sqref="T9:Z10">
    <cfRule type="containsText" dxfId="293" priority="570" operator="containsText" text="AB">
      <formula>NOT(ISERROR(SEARCH("AB",T9)))</formula>
    </cfRule>
  </conditionalFormatting>
  <conditionalFormatting sqref="AL8 T9:Z10">
    <cfRule type="containsText" dxfId="292" priority="568" operator="containsText" text="AB">
      <formula>NOT(ISERROR(SEARCH("AB",T8)))</formula>
    </cfRule>
    <cfRule type="containsText" dxfId="291" priority="569" operator="containsText" text="AB">
      <formula>NOT(ISERROR(SEARCH("AB",T8)))</formula>
    </cfRule>
  </conditionalFormatting>
  <conditionalFormatting sqref="AL17">
    <cfRule type="containsText" dxfId="290" priority="558" operator="containsText" text="AB">
      <formula>NOT(ISERROR(SEARCH("AB",AL17)))</formula>
    </cfRule>
    <cfRule type="containsText" dxfId="289" priority="559" operator="containsText" text="AB">
      <formula>NOT(ISERROR(SEARCH("AB",AL17)))</formula>
    </cfRule>
  </conditionalFormatting>
  <conditionalFormatting sqref="T8:Z8">
    <cfRule type="containsText" dxfId="288" priority="555" operator="containsText" text="AB">
      <formula>NOT(ISERROR(SEARCH("AB",T8)))</formula>
    </cfRule>
  </conditionalFormatting>
  <conditionalFormatting sqref="T11:Z11">
    <cfRule type="containsText" dxfId="287" priority="552" operator="containsText" text="AB">
      <formula>NOT(ISERROR(SEARCH("AB",T11)))</formula>
    </cfRule>
  </conditionalFormatting>
  <conditionalFormatting sqref="T11:Z11">
    <cfRule type="containsText" dxfId="286" priority="551" operator="containsText" text="AB">
      <formula>NOT(ISERROR(SEARCH("AB",T11)))</formula>
    </cfRule>
    <cfRule type="containsText" dxfId="285" priority="733" operator="containsText" text="AB">
      <formula>NOT(ISERROR(SEARCH("AB",T11)))</formula>
    </cfRule>
  </conditionalFormatting>
  <conditionalFormatting sqref="AO73">
    <cfRule type="containsText" dxfId="284" priority="274" operator="containsText" text="AB">
      <formula>NOT(ISERROR(SEARCH("AB",AO73)))</formula>
    </cfRule>
    <cfRule type="containsText" dxfId="283" priority="275" operator="containsText" text="AB">
      <formula>NOT(ISERROR(SEARCH("AB",AO73)))</formula>
    </cfRule>
  </conditionalFormatting>
  <conditionalFormatting sqref="AL5:AO5 AM8:AO8 AM11:AO11 AM14:AO14 AM17:AO17 AM20:AO20 AM23:AO23 AM26:AO26 AM29:AO29 AM32:AO32 AM35:AO35 AM38:AO38 AM41:AO41">
    <cfRule type="containsText" dxfId="282" priority="534" operator="containsText" text="AB">
      <formula>NOT(ISERROR(SEARCH("AB",AL5)))</formula>
    </cfRule>
    <cfRule type="containsText" dxfId="281" priority="535" operator="containsText" text="AB">
      <formula>NOT(ISERROR(SEARCH("AB",AL5)))</formula>
    </cfRule>
  </conditionalFormatting>
  <conditionalFormatting sqref="AK44 AT44:XFD44">
    <cfRule type="containsText" dxfId="280" priority="295" operator="containsText" text="AB">
      <formula>NOT(ISERROR(SEARCH("AB",AK44)))</formula>
    </cfRule>
    <cfRule type="containsText" dxfId="279" priority="296" operator="containsText" text="AB">
      <formula>NOT(ISERROR(SEARCH("AB",AK44)))</formula>
    </cfRule>
  </conditionalFormatting>
  <conditionalFormatting sqref="AL29">
    <cfRule type="containsText" dxfId="278" priority="525" operator="containsText" text="AB">
      <formula>NOT(ISERROR(SEARCH("AB",AL29)))</formula>
    </cfRule>
    <cfRule type="containsText" dxfId="277" priority="526" operator="containsText" text="AB">
      <formula>NOT(ISERROR(SEARCH("AB",AL29)))</formula>
    </cfRule>
  </conditionalFormatting>
  <conditionalFormatting sqref="J32:Z32">
    <cfRule type="containsText" dxfId="276" priority="506" operator="containsText" text="AB">
      <formula>NOT(ISERROR(SEARCH("AB",J32)))</formula>
    </cfRule>
    <cfRule type="containsText" dxfId="275" priority="507" operator="containsText" text="AB">
      <formula>NOT(ISERROR(SEARCH("AB",J32)))</formula>
    </cfRule>
  </conditionalFormatting>
  <conditionalFormatting sqref="AL32">
    <cfRule type="containsText" dxfId="274" priority="511" operator="containsText" text="AB">
      <formula>NOT(ISERROR(SEARCH("AB",AL32)))</formula>
    </cfRule>
    <cfRule type="containsText" dxfId="273" priority="512" operator="containsText" text="AB">
      <formula>NOT(ISERROR(SEARCH("AB",AL32)))</formula>
    </cfRule>
  </conditionalFormatting>
  <conditionalFormatting sqref="J32:Z32">
    <cfRule type="containsText" dxfId="272" priority="508" operator="containsText" text="AB">
      <formula>NOT(ISERROR(SEARCH("AB",J32)))</formula>
    </cfRule>
  </conditionalFormatting>
  <conditionalFormatting sqref="G34">
    <cfRule type="containsText" dxfId="271" priority="500" operator="containsText" text="P">
      <formula>NOT(ISERROR(SEARCH("P",G34)))</formula>
    </cfRule>
    <cfRule type="containsText" dxfId="270" priority="504" operator="containsText" text="A">
      <formula>NOT(ISERROR(SEARCH("A",G34)))</formula>
    </cfRule>
    <cfRule type="containsText" dxfId="269" priority="505" operator="containsText" text="P">
      <formula>NOT(ISERROR(SEARCH("P",G34)))</formula>
    </cfRule>
  </conditionalFormatting>
  <conditionalFormatting sqref="G34">
    <cfRule type="containsText" dxfId="268" priority="503" operator="containsText" text="AB">
      <formula>NOT(ISERROR(SEARCH("AB",G34)))</formula>
    </cfRule>
  </conditionalFormatting>
  <conditionalFormatting sqref="G34">
    <cfRule type="containsText" dxfId="267" priority="501" operator="containsText" text="AB">
      <formula>NOT(ISERROR(SEARCH("AB",G34)))</formula>
    </cfRule>
    <cfRule type="containsText" dxfId="266" priority="502" operator="containsText" text="AB">
      <formula>NOT(ISERROR(SEARCH("AB",G34)))</formula>
    </cfRule>
  </conditionalFormatting>
  <conditionalFormatting sqref="AL44">
    <cfRule type="containsText" dxfId="265" priority="289" operator="containsText" text="AB">
      <formula>NOT(ISERROR(SEARCH("AB",AL44)))</formula>
    </cfRule>
    <cfRule type="containsText" dxfId="264" priority="290" operator="containsText" text="AB">
      <formula>NOT(ISERROR(SEARCH("AB",AL44)))</formula>
    </cfRule>
  </conditionalFormatting>
  <conditionalFormatting sqref="AL73:AN73 C74:H75">
    <cfRule type="containsText" dxfId="263" priority="276" operator="containsText" text="AB">
      <formula>NOT(ISERROR(SEARCH("AB",C73)))</formula>
    </cfRule>
    <cfRule type="containsText" dxfId="262" priority="277" operator="containsText" text="AB">
      <formula>NOT(ISERROR(SEARCH("AB",C73)))</formula>
    </cfRule>
  </conditionalFormatting>
  <conditionalFormatting sqref="C36:H37">
    <cfRule type="containsText" dxfId="261" priority="448" operator="containsText" text="AB">
      <formula>NOT(ISERROR(SEARCH("AB",C36)))</formula>
    </cfRule>
  </conditionalFormatting>
  <conditionalFormatting sqref="AR35:XFD37">
    <cfRule type="containsText" dxfId="260" priority="446" operator="containsText" text="AB">
      <formula>NOT(ISERROR(SEARCH("AB",AR35)))</formula>
    </cfRule>
    <cfRule type="containsText" dxfId="259" priority="447" operator="containsText" text="AB">
      <formula>NOT(ISERROR(SEARCH("AB",AR35)))</formula>
    </cfRule>
  </conditionalFormatting>
  <conditionalFormatting sqref="AR38:XFD40">
    <cfRule type="containsText" dxfId="258" priority="449" operator="containsText" text="AB">
      <formula>NOT(ISERROR(SEARCH("AB",AR38)))</formula>
    </cfRule>
    <cfRule type="containsText" dxfId="257" priority="450" operator="containsText" text="AB">
      <formula>NOT(ISERROR(SEARCH("AB",AR38)))</formula>
    </cfRule>
  </conditionalFormatting>
  <conditionalFormatting sqref="M35">
    <cfRule type="containsText" dxfId="256" priority="439" operator="containsText" text="AB">
      <formula>NOT(ISERROR(SEARCH("AB",M35)))</formula>
    </cfRule>
    <cfRule type="containsText" dxfId="255" priority="440" operator="containsText" text="AB">
      <formula>NOT(ISERROR(SEARCH("AB",M35)))</formula>
    </cfRule>
  </conditionalFormatting>
  <conditionalFormatting sqref="AL35">
    <cfRule type="containsText" dxfId="254" priority="444" operator="containsText" text="AB">
      <formula>NOT(ISERROR(SEARCH("AB",AL35)))</formula>
    </cfRule>
    <cfRule type="containsText" dxfId="253" priority="445" operator="containsText" text="AB">
      <formula>NOT(ISERROR(SEARCH("AB",AL35)))</formula>
    </cfRule>
  </conditionalFormatting>
  <conditionalFormatting sqref="M35">
    <cfRule type="containsText" dxfId="252" priority="441" operator="containsText" text="AB">
      <formula>NOT(ISERROR(SEARCH("AB",M35)))</formula>
    </cfRule>
  </conditionalFormatting>
  <conditionalFormatting sqref="C39:E40 H40 F40 F39:H39">
    <cfRule type="containsText" dxfId="251" priority="435" operator="containsText" text="AB">
      <formula>NOT(ISERROR(SEARCH("AB",C39)))</formula>
    </cfRule>
  </conditionalFormatting>
  <conditionalFormatting sqref="I38:I40 C39:E40 H40 F40 F39:H39">
    <cfRule type="containsText" dxfId="250" priority="433" operator="containsText" text="AB">
      <formula>NOT(ISERROR(SEARCH("AB",C38)))</formula>
    </cfRule>
    <cfRule type="containsText" dxfId="249" priority="434" operator="containsText" text="AB">
      <formula>NOT(ISERROR(SEARCH("AB",C38)))</formula>
    </cfRule>
  </conditionalFormatting>
  <conditionalFormatting sqref="C38:H38 J38:Z38">
    <cfRule type="containsText" dxfId="248" priority="425" operator="containsText" text="AB">
      <formula>NOT(ISERROR(SEARCH("AB",C38)))</formula>
    </cfRule>
    <cfRule type="containsText" dxfId="247" priority="426" operator="containsText" text="AB">
      <formula>NOT(ISERROR(SEARCH("AB",C38)))</formula>
    </cfRule>
  </conditionalFormatting>
  <conditionalFormatting sqref="AL38 AJ5 AJ8 AJ11 AJ14 AJ17 AJ20 AJ23 AJ26 AJ29 AJ32 AJ35 AJ38 AJ41">
    <cfRule type="containsText" dxfId="246" priority="430" operator="containsText" text="AB">
      <formula>NOT(ISERROR(SEARCH("AB",AJ5)))</formula>
    </cfRule>
    <cfRule type="containsText" dxfId="245" priority="431" operator="containsText" text="AB">
      <formula>NOT(ISERROR(SEARCH("AB",AJ5)))</formula>
    </cfRule>
  </conditionalFormatting>
  <conditionalFormatting sqref="C38:H38 J38:Z38">
    <cfRule type="containsText" dxfId="244" priority="427" operator="containsText" text="AB">
      <formula>NOT(ISERROR(SEARCH("AB",C38)))</formula>
    </cfRule>
  </conditionalFormatting>
  <conditionalFormatting sqref="G40">
    <cfRule type="containsText" dxfId="243" priority="419" operator="containsText" text="P">
      <formula>NOT(ISERROR(SEARCH("P",G40)))</formula>
    </cfRule>
    <cfRule type="containsText" dxfId="242" priority="423" operator="containsText" text="A">
      <formula>NOT(ISERROR(SEARCH("A",G40)))</formula>
    </cfRule>
    <cfRule type="containsText" dxfId="241" priority="424" operator="containsText" text="P">
      <formula>NOT(ISERROR(SEARCH("P",G40)))</formula>
    </cfRule>
  </conditionalFormatting>
  <conditionalFormatting sqref="G40">
    <cfRule type="containsText" dxfId="240" priority="422" operator="containsText" text="AB">
      <formula>NOT(ISERROR(SEARCH("AB",G40)))</formula>
    </cfRule>
  </conditionalFormatting>
  <conditionalFormatting sqref="G40">
    <cfRule type="containsText" dxfId="239" priority="420" operator="containsText" text="AB">
      <formula>NOT(ISERROR(SEARCH("AB",G40)))</formula>
    </cfRule>
    <cfRule type="containsText" dxfId="238" priority="421" operator="containsText" text="AB">
      <formula>NOT(ISERROR(SEARCH("AB",G40)))</formula>
    </cfRule>
  </conditionalFormatting>
  <conditionalFormatting sqref="C42:H43">
    <cfRule type="containsText" dxfId="237" priority="414" operator="containsText" text="AB">
      <formula>NOT(ISERROR(SEARCH("AB",C42)))</formula>
    </cfRule>
  </conditionalFormatting>
  <conditionalFormatting sqref="AR41:XFD43">
    <cfRule type="containsText" dxfId="236" priority="412" operator="containsText" text="AB">
      <formula>NOT(ISERROR(SEARCH("AB",AR41)))</formula>
    </cfRule>
    <cfRule type="containsText" dxfId="235" priority="413" operator="containsText" text="AB">
      <formula>NOT(ISERROR(SEARCH("AB",AR41)))</formula>
    </cfRule>
  </conditionalFormatting>
  <conditionalFormatting sqref="AL41">
    <cfRule type="containsText" dxfId="234" priority="410" operator="containsText" text="AB">
      <formula>NOT(ISERROR(SEARCH("AB",AL41)))</formula>
    </cfRule>
    <cfRule type="containsText" dxfId="233" priority="411" operator="containsText" text="AB">
      <formula>NOT(ISERROR(SEARCH("AB",AL41)))</formula>
    </cfRule>
  </conditionalFormatting>
  <conditionalFormatting sqref="AS82:XFD84">
    <cfRule type="containsText" dxfId="232" priority="214" operator="containsText" text="AB">
      <formula>NOT(ISERROR(SEARCH("AB",AS82)))</formula>
    </cfRule>
    <cfRule type="containsText" dxfId="231" priority="215" operator="containsText" text="AB">
      <formula>NOT(ISERROR(SEARCH("AB",AS82)))</formula>
    </cfRule>
  </conditionalFormatting>
  <conditionalFormatting sqref="C62:H63 J62:Z63">
    <cfRule type="containsText" dxfId="230" priority="251" operator="containsText" text="AB">
      <formula>NOT(ISERROR(SEARCH("AB",C62)))</formula>
    </cfRule>
  </conditionalFormatting>
  <conditionalFormatting sqref="AL61:AN61 C62:H63 J62:Z63">
    <cfRule type="containsText" dxfId="229" priority="249" operator="containsText" text="AB">
      <formula>NOT(ISERROR(SEARCH("AB",C61)))</formula>
    </cfRule>
    <cfRule type="containsText" dxfId="228" priority="250" operator="containsText" text="AB">
      <formula>NOT(ISERROR(SEARCH("AB",C61)))</formula>
    </cfRule>
  </conditionalFormatting>
  <conditionalFormatting sqref="AL64:AN64 AL67:AN67">
    <cfRule type="containsText" dxfId="227" priority="244" operator="containsText" text="AB">
      <formula>NOT(ISERROR(SEARCH("AB",AL64)))</formula>
    </cfRule>
    <cfRule type="containsText" dxfId="226" priority="245" operator="containsText" text="AB">
      <formula>NOT(ISERROR(SEARCH("AB",AL64)))</formula>
    </cfRule>
  </conditionalFormatting>
  <conditionalFormatting sqref="C61:AA61">
    <cfRule type="containsText" dxfId="225" priority="234" operator="containsText" text="AB">
      <formula>NOT(ISERROR(SEARCH("AB",C61)))</formula>
    </cfRule>
    <cfRule type="containsText" dxfId="224" priority="235" operator="containsText" text="AB">
      <formula>NOT(ISERROR(SEARCH("AB",C61)))</formula>
    </cfRule>
  </conditionalFormatting>
  <conditionalFormatting sqref="AL85:AN85">
    <cfRule type="containsText" dxfId="223" priority="198" operator="containsText" text="AB">
      <formula>NOT(ISERROR(SEARCH("AB",AL85)))</formula>
    </cfRule>
    <cfRule type="containsText" dxfId="222" priority="199" operator="containsText" text="AB">
      <formula>NOT(ISERROR(SEARCH("AB",AL85)))</formula>
    </cfRule>
  </conditionalFormatting>
  <conditionalFormatting sqref="AL70:AN70">
    <cfRule type="containsText" dxfId="221" priority="239" operator="containsText" text="AB">
      <formula>NOT(ISERROR(SEARCH("AB",AL70)))</formula>
    </cfRule>
    <cfRule type="containsText" dxfId="220" priority="240" operator="containsText" text="AB">
      <formula>NOT(ISERROR(SEARCH("AB",AL70)))</formula>
    </cfRule>
  </conditionalFormatting>
  <conditionalFormatting sqref="AO70">
    <cfRule type="containsText" dxfId="219" priority="237" operator="containsText" text="AB">
      <formula>NOT(ISERROR(SEARCH("AB",AO70)))</formula>
    </cfRule>
    <cfRule type="containsText" dxfId="218" priority="238" operator="containsText" text="AB">
      <formula>NOT(ISERROR(SEARCH("AB",AO70)))</formula>
    </cfRule>
  </conditionalFormatting>
  <conditionalFormatting sqref="C61:AA61">
    <cfRule type="containsText" dxfId="217" priority="236" operator="containsText" text="AB">
      <formula>NOT(ISERROR(SEARCH("AB",C61)))</formula>
    </cfRule>
  </conditionalFormatting>
  <conditionalFormatting sqref="C64:Z64">
    <cfRule type="containsText" dxfId="216" priority="233" operator="containsText" text="AB">
      <formula>NOT(ISERROR(SEARCH("AB",C64)))</formula>
    </cfRule>
  </conditionalFormatting>
  <conditionalFormatting sqref="C64:Z64">
    <cfRule type="containsText" dxfId="215" priority="231" operator="containsText" text="AB">
      <formula>NOT(ISERROR(SEARCH("AB",C64)))</formula>
    </cfRule>
    <cfRule type="containsText" dxfId="214" priority="232" operator="containsText" text="AB">
      <formula>NOT(ISERROR(SEARCH("AB",C64)))</formula>
    </cfRule>
  </conditionalFormatting>
  <conditionalFormatting sqref="C70:Z70">
    <cfRule type="containsText" dxfId="213" priority="230" operator="containsText" text="AB">
      <formula>NOT(ISERROR(SEARCH("AB",C70)))</formula>
    </cfRule>
  </conditionalFormatting>
  <conditionalFormatting sqref="C70:Z70">
    <cfRule type="containsText" dxfId="212" priority="228" operator="containsText" text="AB">
      <formula>NOT(ISERROR(SEARCH("AB",C70)))</formula>
    </cfRule>
    <cfRule type="containsText" dxfId="211" priority="229" operator="containsText" text="AB">
      <formula>NOT(ISERROR(SEARCH("AB",C70)))</formula>
    </cfRule>
  </conditionalFormatting>
  <conditionalFormatting sqref="AL58:AO58">
    <cfRule type="containsText" dxfId="210" priority="221" operator="containsText" text="AB">
      <formula>NOT(ISERROR(SEARCH("AB",AL58)))</formula>
    </cfRule>
    <cfRule type="containsText" dxfId="209" priority="222" operator="containsText" text="AB">
      <formula>NOT(ISERROR(SEARCH("AB",AL58)))</formula>
    </cfRule>
  </conditionalFormatting>
  <conditionalFormatting sqref="A59:A60 A65:A66 A71:A72 A77:A78 A83:A84 A89:A90 A95:A96 A101:A102">
    <cfRule type="containsText" dxfId="208" priority="226" operator="containsText" text="AB">
      <formula>NOT(ISERROR(SEARCH("AB",A59)))</formula>
    </cfRule>
    <cfRule type="containsText" dxfId="207" priority="227" operator="containsText" text="AB">
      <formula>NOT(ISERROR(SEARCH("AB",A59)))</formula>
    </cfRule>
  </conditionalFormatting>
  <conditionalFormatting sqref="G87">
    <cfRule type="containsText" dxfId="206" priority="188" operator="containsText" text="AB">
      <formula>NOT(ISERROR(SEARCH("AB",G87)))</formula>
    </cfRule>
    <cfRule type="containsText" dxfId="205" priority="189" operator="containsText" text="AB">
      <formula>NOT(ISERROR(SEARCH("AB",G87)))</formula>
    </cfRule>
  </conditionalFormatting>
  <conditionalFormatting sqref="N53:N54">
    <cfRule type="containsText" dxfId="204" priority="135" operator="containsText" text="AB">
      <formula>NOT(ISERROR(SEARCH("AB",N53)))</formula>
    </cfRule>
  </conditionalFormatting>
  <conditionalFormatting sqref="N53:N54 AK52:AO52">
    <cfRule type="containsText" dxfId="203" priority="133" operator="containsText" text="AB">
      <formula>NOT(ISERROR(SEARCH("AB",N52)))</formula>
    </cfRule>
    <cfRule type="containsText" dxfId="202" priority="134" operator="containsText" text="AB">
      <formula>NOT(ISERROR(SEARCH("AB",N52)))</formula>
    </cfRule>
  </conditionalFormatting>
  <conditionalFormatting sqref="C54:M54">
    <cfRule type="containsText" dxfId="201" priority="132" operator="containsText" text="AB">
      <formula>NOT(ISERROR(SEARCH("AB",C54)))</formula>
    </cfRule>
  </conditionalFormatting>
  <conditionalFormatting sqref="C54:M54">
    <cfRule type="containsText" dxfId="200" priority="130" operator="containsText" text="AB">
      <formula>NOT(ISERROR(SEARCH("AB",C54)))</formula>
    </cfRule>
    <cfRule type="containsText" dxfId="199" priority="131" operator="containsText" text="AB">
      <formula>NOT(ISERROR(SEARCH("AB",C54)))</formula>
    </cfRule>
  </conditionalFormatting>
  <conditionalFormatting sqref="C53:M53">
    <cfRule type="containsText" dxfId="198" priority="129" operator="containsText" text="AB">
      <formula>NOT(ISERROR(SEARCH("AB",C53)))</formula>
    </cfRule>
  </conditionalFormatting>
  <conditionalFormatting sqref="C53:M53">
    <cfRule type="containsText" dxfId="197" priority="127" operator="containsText" text="AB">
      <formula>NOT(ISERROR(SEARCH("AB",C53)))</formula>
    </cfRule>
    <cfRule type="containsText" dxfId="196" priority="128" operator="containsText" text="AB">
      <formula>NOT(ISERROR(SEARCH("AB",C53)))</formula>
    </cfRule>
  </conditionalFormatting>
  <conditionalFormatting sqref="AJ44">
    <cfRule type="containsText" dxfId="195" priority="293" operator="containsText" text="AB">
      <formula>NOT(ISERROR(SEARCH("AB",AJ44)))</formula>
    </cfRule>
    <cfRule type="containsText" dxfId="194" priority="294" operator="containsText" text="AB">
      <formula>NOT(ISERROR(SEARCH("AB",AJ44)))</formula>
    </cfRule>
  </conditionalFormatting>
  <conditionalFormatting sqref="AI44">
    <cfRule type="containsText" dxfId="193" priority="291" operator="containsText" text="AB">
      <formula>NOT(ISERROR(SEARCH("AB",AI44)))</formula>
    </cfRule>
    <cfRule type="containsText" dxfId="192" priority="292" operator="containsText" text="AB">
      <formula>NOT(ISERROR(SEARCH("AB",AI44)))</formula>
    </cfRule>
  </conditionalFormatting>
  <conditionalFormatting sqref="AH44">
    <cfRule type="containsText" dxfId="191" priority="287" operator="containsText" text="AB">
      <formula>NOT(ISERROR(SEARCH("AB",AH44)))</formula>
    </cfRule>
    <cfRule type="containsText" dxfId="190" priority="288" operator="containsText" text="AB">
      <formula>NOT(ISERROR(SEARCH("AB",AH44)))</formula>
    </cfRule>
  </conditionalFormatting>
  <conditionalFormatting sqref="AM44">
    <cfRule type="containsText" dxfId="189" priority="285" operator="containsText" text="AB">
      <formula>NOT(ISERROR(SEARCH("AB",AM44)))</formula>
    </cfRule>
    <cfRule type="containsText" dxfId="188" priority="286" operator="containsText" text="AB">
      <formula>NOT(ISERROR(SEARCH("AB",AM44)))</formula>
    </cfRule>
  </conditionalFormatting>
  <conditionalFormatting sqref="AN44">
    <cfRule type="containsText" dxfId="187" priority="283" operator="containsText" text="AB">
      <formula>NOT(ISERROR(SEARCH("AB",AN44)))</formula>
    </cfRule>
    <cfRule type="containsText" dxfId="186" priority="284" operator="containsText" text="AB">
      <formula>NOT(ISERROR(SEARCH("AB",AN44)))</formula>
    </cfRule>
  </conditionalFormatting>
  <conditionalFormatting sqref="AO44">
    <cfRule type="containsText" dxfId="185" priority="281" operator="containsText" text="AB">
      <formula>NOT(ISERROR(SEARCH("AB",AO44)))</formula>
    </cfRule>
    <cfRule type="containsText" dxfId="184" priority="282" operator="containsText" text="AB">
      <formula>NOT(ISERROR(SEARCH("AB",AO44)))</formula>
    </cfRule>
  </conditionalFormatting>
  <conditionalFormatting sqref="I74:I75 I80:I81 A61:A63 AT58:AV60 AS61:AV81 AW58:XFD81 I77:I78 A67:A69 A73:A75 A79:A81 A85:A87 A91:A93 A97:A99 A103:A105">
    <cfRule type="containsText" dxfId="183" priority="279" operator="containsText" text="AB">
      <formula>NOT(ISERROR(SEARCH("AB",A58)))</formula>
    </cfRule>
    <cfRule type="containsText" dxfId="182" priority="280" operator="containsText" text="AB">
      <formula>NOT(ISERROR(SEARCH("AB",A58)))</formula>
    </cfRule>
  </conditionalFormatting>
  <conditionalFormatting sqref="C74:H75">
    <cfRule type="containsText" dxfId="181" priority="278" operator="containsText" text="AB">
      <formula>NOT(ISERROR(SEARCH("AB",C74)))</formula>
    </cfRule>
  </conditionalFormatting>
  <conditionalFormatting sqref="C77:H78">
    <cfRule type="containsText" dxfId="180" priority="273" operator="containsText" text="AB">
      <formula>NOT(ISERROR(SEARCH("AB",C77)))</formula>
    </cfRule>
  </conditionalFormatting>
  <conditionalFormatting sqref="AL76:AN76 C77:H78">
    <cfRule type="containsText" dxfId="179" priority="271" operator="containsText" text="AB">
      <formula>NOT(ISERROR(SEARCH("AB",C76)))</formula>
    </cfRule>
    <cfRule type="containsText" dxfId="178" priority="272" operator="containsText" text="AB">
      <formula>NOT(ISERROR(SEARCH("AB",C76)))</formula>
    </cfRule>
  </conditionalFormatting>
  <conditionalFormatting sqref="AO76">
    <cfRule type="containsText" dxfId="177" priority="269" operator="containsText" text="AB">
      <formula>NOT(ISERROR(SEARCH("AB",AO76)))</formula>
    </cfRule>
    <cfRule type="containsText" dxfId="176" priority="270" operator="containsText" text="AB">
      <formula>NOT(ISERROR(SEARCH("AB",AO76)))</formula>
    </cfRule>
  </conditionalFormatting>
  <conditionalFormatting sqref="C80:H81">
    <cfRule type="containsText" dxfId="175" priority="268" operator="containsText" text="AB">
      <formula>NOT(ISERROR(SEARCH("AB",C80)))</formula>
    </cfRule>
  </conditionalFormatting>
  <conditionalFormatting sqref="AL79:AN79 C80:H81">
    <cfRule type="containsText" dxfId="174" priority="266" operator="containsText" text="AB">
      <formula>NOT(ISERROR(SEARCH("AB",C79)))</formula>
    </cfRule>
    <cfRule type="containsText" dxfId="173" priority="267" operator="containsText" text="AB">
      <formula>NOT(ISERROR(SEARCH("AB",C79)))</formula>
    </cfRule>
  </conditionalFormatting>
  <conditionalFormatting sqref="AO79">
    <cfRule type="containsText" dxfId="172" priority="264" operator="containsText" text="AB">
      <formula>NOT(ISERROR(SEARCH("AB",AO79)))</formula>
    </cfRule>
    <cfRule type="containsText" dxfId="171" priority="265" operator="containsText" text="AB">
      <formula>NOT(ISERROR(SEARCH("AB",AO79)))</formula>
    </cfRule>
  </conditionalFormatting>
  <conditionalFormatting sqref="C79:AA79">
    <cfRule type="containsText" dxfId="170" priority="263" operator="containsText" text="AB">
      <formula>NOT(ISERROR(SEARCH("AB",C79)))</formula>
    </cfRule>
  </conditionalFormatting>
  <conditionalFormatting sqref="C79:AA79">
    <cfRule type="containsText" dxfId="169" priority="261" operator="containsText" text="AB">
      <formula>NOT(ISERROR(SEARCH("AB",C79)))</formula>
    </cfRule>
    <cfRule type="containsText" dxfId="168" priority="262" operator="containsText" text="AB">
      <formula>NOT(ISERROR(SEARCH("AB",C79)))</formula>
    </cfRule>
  </conditionalFormatting>
  <conditionalFormatting sqref="C76:AA76">
    <cfRule type="containsText" dxfId="167" priority="260" operator="containsText" text="AB">
      <formula>NOT(ISERROR(SEARCH("AB",C76)))</formula>
    </cfRule>
  </conditionalFormatting>
  <conditionalFormatting sqref="C76:AA76">
    <cfRule type="containsText" dxfId="166" priority="258" operator="containsText" text="AB">
      <formula>NOT(ISERROR(SEARCH("AB",C76)))</formula>
    </cfRule>
    <cfRule type="containsText" dxfId="165" priority="259" operator="containsText" text="AB">
      <formula>NOT(ISERROR(SEARCH("AB",C76)))</formula>
    </cfRule>
  </conditionalFormatting>
  <conditionalFormatting sqref="C65:H69 C71:H72">
    <cfRule type="containsText" dxfId="164" priority="254" operator="containsText" text="AB">
      <formula>NOT(ISERROR(SEARCH("AB",C65)))</formula>
    </cfRule>
  </conditionalFormatting>
  <conditionalFormatting sqref="I62:I63 C65:I69 C71:I72">
    <cfRule type="containsText" dxfId="163" priority="252" operator="containsText" text="AB">
      <formula>NOT(ISERROR(SEARCH("AB",C62)))</formula>
    </cfRule>
    <cfRule type="containsText" dxfId="162" priority="253" operator="containsText" text="AB">
      <formula>NOT(ISERROR(SEARCH("AB",C62)))</formula>
    </cfRule>
  </conditionalFormatting>
  <conditionalFormatting sqref="AO61">
    <cfRule type="containsText" dxfId="161" priority="247" operator="containsText" text="AB">
      <formula>NOT(ISERROR(SEARCH("AB",AO61)))</formula>
    </cfRule>
    <cfRule type="containsText" dxfId="160" priority="248" operator="containsText" text="AB">
      <formula>NOT(ISERROR(SEARCH("AB",AO61)))</formula>
    </cfRule>
  </conditionalFormatting>
  <conditionalFormatting sqref="AS91:XFD93">
    <cfRule type="containsText" dxfId="159" priority="185" operator="containsText" text="AB">
      <formula>NOT(ISERROR(SEARCH("AB",AS91)))</formula>
    </cfRule>
    <cfRule type="containsText" dxfId="158" priority="186" operator="containsText" text="AB">
      <formula>NOT(ISERROR(SEARCH("AB",AS91)))</formula>
    </cfRule>
  </conditionalFormatting>
  <conditionalFormatting sqref="I86:I87 C86:E87 H87 F87 F86:H86">
    <cfRule type="containsText" dxfId="157" priority="201" operator="containsText" text="AB">
      <formula>NOT(ISERROR(SEARCH("AB",C86)))</formula>
    </cfRule>
    <cfRule type="containsText" dxfId="156" priority="202" operator="containsText" text="AB">
      <formula>NOT(ISERROR(SEARCH("AB",C86)))</formula>
    </cfRule>
  </conditionalFormatting>
  <conditionalFormatting sqref="AO64 AO67">
    <cfRule type="containsText" dxfId="155" priority="242" operator="containsText" text="AB">
      <formula>NOT(ISERROR(SEARCH("AB",AO64)))</formula>
    </cfRule>
    <cfRule type="containsText" dxfId="154" priority="243" operator="containsText" text="AB">
      <formula>NOT(ISERROR(SEARCH("AB",AO64)))</formula>
    </cfRule>
  </conditionalFormatting>
  <conditionalFormatting sqref="AO85">
    <cfRule type="containsText" dxfId="153" priority="196" operator="containsText" text="AB">
      <formula>NOT(ISERROR(SEARCH("AB",AO85)))</formula>
    </cfRule>
    <cfRule type="containsText" dxfId="152" priority="197" operator="containsText" text="AB">
      <formula>NOT(ISERROR(SEARCH("AB",AO85)))</formula>
    </cfRule>
  </conditionalFormatting>
  <conditionalFormatting sqref="G87">
    <cfRule type="containsText" dxfId="151" priority="190" operator="containsText" text="AB">
      <formula>NOT(ISERROR(SEARCH("AB",G87)))</formula>
    </cfRule>
  </conditionalFormatting>
  <conditionalFormatting sqref="C59:H60">
    <cfRule type="containsText" dxfId="150" priority="225" operator="containsText" text="AB">
      <formula>NOT(ISERROR(SEARCH("AB",C59)))</formula>
    </cfRule>
  </conditionalFormatting>
  <conditionalFormatting sqref="AK58 C59:H60">
    <cfRule type="containsText" dxfId="149" priority="223" operator="containsText" text="AB">
      <formula>NOT(ISERROR(SEARCH("AB",C58)))</formula>
    </cfRule>
    <cfRule type="containsText" dxfId="148" priority="224" operator="containsText" text="AB">
      <formula>NOT(ISERROR(SEARCH("AB",C58)))</formula>
    </cfRule>
  </conditionalFormatting>
  <conditionalFormatting sqref="AO88">
    <cfRule type="containsText" dxfId="147" priority="178" operator="containsText" text="AB">
      <formula>NOT(ISERROR(SEARCH("AB",AO88)))</formula>
    </cfRule>
    <cfRule type="containsText" dxfId="146" priority="179" operator="containsText" text="AB">
      <formula>NOT(ISERROR(SEARCH("AB",AO88)))</formula>
    </cfRule>
  </conditionalFormatting>
  <conditionalFormatting sqref="AS85:XFD87">
    <cfRule type="containsText" dxfId="145" priority="217" operator="containsText" text="AB">
      <formula>NOT(ISERROR(SEARCH("AB",AS85)))</formula>
    </cfRule>
    <cfRule type="containsText" dxfId="144" priority="218" operator="containsText" text="AB">
      <formula>NOT(ISERROR(SEARCH("AB",AS85)))</formula>
    </cfRule>
  </conditionalFormatting>
  <conditionalFormatting sqref="C83:H84">
    <cfRule type="containsText" dxfId="143" priority="216" operator="containsText" text="AB">
      <formula>NOT(ISERROR(SEARCH("AB",C83)))</formula>
    </cfRule>
  </conditionalFormatting>
  <conditionalFormatting sqref="AL82:AN82">
    <cfRule type="containsText" dxfId="142" priority="212" operator="containsText" text="AB">
      <formula>NOT(ISERROR(SEARCH("AB",AL82)))</formula>
    </cfRule>
    <cfRule type="containsText" dxfId="141" priority="213" operator="containsText" text="AB">
      <formula>NOT(ISERROR(SEARCH("AB",AL82)))</formula>
    </cfRule>
  </conditionalFormatting>
  <conditionalFormatting sqref="AO82">
    <cfRule type="containsText" dxfId="140" priority="210" operator="containsText" text="AB">
      <formula>NOT(ISERROR(SEARCH("AB",AO82)))</formula>
    </cfRule>
    <cfRule type="containsText" dxfId="139" priority="211" operator="containsText" text="AB">
      <formula>NOT(ISERROR(SEARCH("AB",AO82)))</formula>
    </cfRule>
  </conditionalFormatting>
  <conditionalFormatting sqref="C82:L82">
    <cfRule type="containsText" dxfId="138" priority="209" operator="containsText" text="AB">
      <formula>NOT(ISERROR(SEARCH("AB",C82)))</formula>
    </cfRule>
  </conditionalFormatting>
  <conditionalFormatting sqref="C82:L82">
    <cfRule type="containsText" dxfId="137" priority="207" operator="containsText" text="AB">
      <formula>NOT(ISERROR(SEARCH("AB",C82)))</formula>
    </cfRule>
    <cfRule type="containsText" dxfId="136" priority="208" operator="containsText" text="AB">
      <formula>NOT(ISERROR(SEARCH("AB",C82)))</formula>
    </cfRule>
  </conditionalFormatting>
  <conditionalFormatting sqref="C86:E87 H87 F87 F86:H86">
    <cfRule type="containsText" dxfId="135" priority="203" operator="containsText" text="AB">
      <formula>NOT(ISERROR(SEARCH("AB",C86)))</formula>
    </cfRule>
  </conditionalFormatting>
  <conditionalFormatting sqref="C85:AA85">
    <cfRule type="containsText" dxfId="134" priority="193" operator="containsText" text="AB">
      <formula>NOT(ISERROR(SEARCH("AB",C85)))</formula>
    </cfRule>
    <cfRule type="containsText" dxfId="133" priority="194" operator="containsText" text="AB">
      <formula>NOT(ISERROR(SEARCH("AB",C85)))</formula>
    </cfRule>
  </conditionalFormatting>
  <conditionalFormatting sqref="C85:AA85">
    <cfRule type="containsText" dxfId="132" priority="195" operator="containsText" text="AB">
      <formula>NOT(ISERROR(SEARCH("AB",C85)))</formula>
    </cfRule>
  </conditionalFormatting>
  <conditionalFormatting sqref="G87">
    <cfRule type="containsText" dxfId="131" priority="187" operator="containsText" text="P">
      <formula>NOT(ISERROR(SEARCH("P",G87)))</formula>
    </cfRule>
    <cfRule type="containsText" dxfId="130" priority="191" operator="containsText" text="A">
      <formula>NOT(ISERROR(SEARCH("A",G87)))</formula>
    </cfRule>
    <cfRule type="containsText" dxfId="129" priority="192" operator="containsText" text="P">
      <formula>NOT(ISERROR(SEARCH("P",G87)))</formula>
    </cfRule>
  </conditionalFormatting>
  <conditionalFormatting sqref="C89:H90">
    <cfRule type="containsText" dxfId="128" priority="184" operator="containsText" text="AB">
      <formula>NOT(ISERROR(SEARCH("AB",C89)))</formula>
    </cfRule>
  </conditionalFormatting>
  <conditionalFormatting sqref="AS88:XFD90">
    <cfRule type="containsText" dxfId="127" priority="182" operator="containsText" text="AB">
      <formula>NOT(ISERROR(SEARCH("AB",AS88)))</formula>
    </cfRule>
    <cfRule type="containsText" dxfId="126" priority="183" operator="containsText" text="AB">
      <formula>NOT(ISERROR(SEARCH("AB",AS88)))</formula>
    </cfRule>
  </conditionalFormatting>
  <conditionalFormatting sqref="C88:AA88">
    <cfRule type="containsText" dxfId="125" priority="175" operator="containsText" text="AB">
      <formula>NOT(ISERROR(SEARCH("AB",C88)))</formula>
    </cfRule>
    <cfRule type="containsText" dxfId="124" priority="176" operator="containsText" text="AB">
      <formula>NOT(ISERROR(SEARCH("AB",C88)))</formula>
    </cfRule>
  </conditionalFormatting>
  <conditionalFormatting sqref="AL88:AN88">
    <cfRule type="containsText" dxfId="123" priority="180" operator="containsText" text="AB">
      <formula>NOT(ISERROR(SEARCH("AB",AL88)))</formula>
    </cfRule>
    <cfRule type="containsText" dxfId="122" priority="181" operator="containsText" text="AB">
      <formula>NOT(ISERROR(SEARCH("AB",AL88)))</formula>
    </cfRule>
  </conditionalFormatting>
  <conditionalFormatting sqref="C88:AA88">
    <cfRule type="containsText" dxfId="121" priority="177" operator="containsText" text="AB">
      <formula>NOT(ISERROR(SEARCH("AB",C88)))</formula>
    </cfRule>
  </conditionalFormatting>
  <conditionalFormatting sqref="C92:E93 H93 F93 F92:H92">
    <cfRule type="containsText" dxfId="120" priority="171" operator="containsText" text="AB">
      <formula>NOT(ISERROR(SEARCH("AB",C92)))</formula>
    </cfRule>
  </conditionalFormatting>
  <conditionalFormatting sqref="I92:I93 C92:E93 H93 F93 F92:H92">
    <cfRule type="containsText" dxfId="119" priority="169" operator="containsText" text="AB">
      <formula>NOT(ISERROR(SEARCH("AB",C92)))</formula>
    </cfRule>
    <cfRule type="containsText" dxfId="118" priority="170" operator="containsText" text="AB">
      <formula>NOT(ISERROR(SEARCH("AB",C92)))</formula>
    </cfRule>
  </conditionalFormatting>
  <conditionalFormatting sqref="AO91">
    <cfRule type="containsText" dxfId="117" priority="164" operator="containsText" text="AB">
      <formula>NOT(ISERROR(SEARCH("AB",AO91)))</formula>
    </cfRule>
    <cfRule type="containsText" dxfId="116" priority="165" operator="containsText" text="AB">
      <formula>NOT(ISERROR(SEARCH("AB",AO91)))</formula>
    </cfRule>
  </conditionalFormatting>
  <conditionalFormatting sqref="C91:AA91">
    <cfRule type="containsText" dxfId="115" priority="161" operator="containsText" text="AB">
      <formula>NOT(ISERROR(SEARCH("AB",C91)))</formula>
    </cfRule>
    <cfRule type="containsText" dxfId="114" priority="162" operator="containsText" text="AB">
      <formula>NOT(ISERROR(SEARCH("AB",C91)))</formula>
    </cfRule>
  </conditionalFormatting>
  <conditionalFormatting sqref="AL91:AN91">
    <cfRule type="containsText" dxfId="113" priority="166" operator="containsText" text="AB">
      <formula>NOT(ISERROR(SEARCH("AB",AL91)))</formula>
    </cfRule>
    <cfRule type="containsText" dxfId="112" priority="167" operator="containsText" text="AB">
      <formula>NOT(ISERROR(SEARCH("AB",AL91)))</formula>
    </cfRule>
  </conditionalFormatting>
  <conditionalFormatting sqref="C91:AA91">
    <cfRule type="containsText" dxfId="111" priority="163" operator="containsText" text="AB">
      <formula>NOT(ISERROR(SEARCH("AB",C91)))</formula>
    </cfRule>
  </conditionalFormatting>
  <conditionalFormatting sqref="G93">
    <cfRule type="containsText" dxfId="110" priority="155" operator="containsText" text="P">
      <formula>NOT(ISERROR(SEARCH("P",G93)))</formula>
    </cfRule>
    <cfRule type="containsText" dxfId="109" priority="159" operator="containsText" text="A">
      <formula>NOT(ISERROR(SEARCH("A",G93)))</formula>
    </cfRule>
    <cfRule type="containsText" dxfId="108" priority="160" operator="containsText" text="P">
      <formula>NOT(ISERROR(SEARCH("P",G93)))</formula>
    </cfRule>
  </conditionalFormatting>
  <conditionalFormatting sqref="G93">
    <cfRule type="containsText" dxfId="107" priority="158" operator="containsText" text="AB">
      <formula>NOT(ISERROR(SEARCH("AB",G93)))</formula>
    </cfRule>
  </conditionalFormatting>
  <conditionalFormatting sqref="G93">
    <cfRule type="containsText" dxfId="106" priority="156" operator="containsText" text="AB">
      <formula>NOT(ISERROR(SEARCH("AB",G93)))</formula>
    </cfRule>
    <cfRule type="containsText" dxfId="105" priority="157" operator="containsText" text="AB">
      <formula>NOT(ISERROR(SEARCH("AB",G93)))</formula>
    </cfRule>
  </conditionalFormatting>
  <conditionalFormatting sqref="C95:H96">
    <cfRule type="containsText" dxfId="104" priority="152" operator="containsText" text="AB">
      <formula>NOT(ISERROR(SEARCH("AB",C95)))</formula>
    </cfRule>
  </conditionalFormatting>
  <conditionalFormatting sqref="AS94:XFD96">
    <cfRule type="containsText" dxfId="103" priority="150" operator="containsText" text="AB">
      <formula>NOT(ISERROR(SEARCH("AB",AS94)))</formula>
    </cfRule>
    <cfRule type="containsText" dxfId="102" priority="151" operator="containsText" text="AB">
      <formula>NOT(ISERROR(SEARCH("AB",AS94)))</formula>
    </cfRule>
  </conditionalFormatting>
  <conditionalFormatting sqref="AL94:AN94">
    <cfRule type="containsText" dxfId="101" priority="148" operator="containsText" text="AB">
      <formula>NOT(ISERROR(SEARCH("AB",AL94)))</formula>
    </cfRule>
    <cfRule type="containsText" dxfId="100" priority="149" operator="containsText" text="AB">
      <formula>NOT(ISERROR(SEARCH("AB",AL94)))</formula>
    </cfRule>
  </conditionalFormatting>
  <conditionalFormatting sqref="AO94 AO97 AO100 AO103">
    <cfRule type="containsText" dxfId="99" priority="146" operator="containsText" text="AB">
      <formula>NOT(ISERROR(SEARCH("AB",AO94)))</formula>
    </cfRule>
    <cfRule type="containsText" dxfId="98" priority="147" operator="containsText" text="AB">
      <formula>NOT(ISERROR(SEARCH("AB",AO94)))</formula>
    </cfRule>
  </conditionalFormatting>
  <conditionalFormatting sqref="AU52:XFD54">
    <cfRule type="containsText" dxfId="97" priority="139" operator="containsText" text="AB">
      <formula>NOT(ISERROR(SEARCH("AB",AU52)))</formula>
    </cfRule>
    <cfRule type="containsText" dxfId="96" priority="140" operator="containsText" text="AB">
      <formula>NOT(ISERROR(SEARCH("AB",AU52)))</formula>
    </cfRule>
  </conditionalFormatting>
  <conditionalFormatting sqref="B52">
    <cfRule type="containsText" dxfId="95" priority="100" operator="containsText" text="AB">
      <formula>NOT(ISERROR(SEARCH("AB",B52)))</formula>
    </cfRule>
    <cfRule type="containsText" dxfId="94" priority="101" operator="containsText" text="AB">
      <formula>NOT(ISERROR(SEARCH("AB",B52)))</formula>
    </cfRule>
  </conditionalFormatting>
  <conditionalFormatting sqref="T53">
    <cfRule type="containsText" dxfId="93" priority="112" operator="containsText" text="AB">
      <formula>NOT(ISERROR(SEARCH("AB",T53)))</formula>
    </cfRule>
    <cfRule type="containsText" dxfId="92" priority="113" operator="containsText" text="AB">
      <formula>NOT(ISERROR(SEARCH("AB",T53)))</formula>
    </cfRule>
  </conditionalFormatting>
  <conditionalFormatting sqref="O53">
    <cfRule type="containsText" dxfId="91" priority="126" operator="containsText" text="AB">
      <formula>NOT(ISERROR(SEARCH("AB",O53)))</formula>
    </cfRule>
  </conditionalFormatting>
  <conditionalFormatting sqref="O53">
    <cfRule type="containsText" dxfId="90" priority="124" operator="containsText" text="AB">
      <formula>NOT(ISERROR(SEARCH("AB",O53)))</formula>
    </cfRule>
    <cfRule type="containsText" dxfId="89" priority="125" operator="containsText" text="AB">
      <formula>NOT(ISERROR(SEARCH("AB",O53)))</formula>
    </cfRule>
  </conditionalFormatting>
  <conditionalFormatting sqref="P53">
    <cfRule type="containsText" dxfId="88" priority="123" operator="containsText" text="AB">
      <formula>NOT(ISERROR(SEARCH("AB",P53)))</formula>
    </cfRule>
  </conditionalFormatting>
  <conditionalFormatting sqref="P53">
    <cfRule type="containsText" dxfId="87" priority="121" operator="containsText" text="AB">
      <formula>NOT(ISERROR(SEARCH("AB",P53)))</formula>
    </cfRule>
    <cfRule type="containsText" dxfId="86" priority="122" operator="containsText" text="AB">
      <formula>NOT(ISERROR(SEARCH("AB",P53)))</formula>
    </cfRule>
  </conditionalFormatting>
  <conditionalFormatting sqref="Q53">
    <cfRule type="containsText" dxfId="85" priority="120" operator="containsText" text="AB">
      <formula>NOT(ISERROR(SEARCH("AB",Q53)))</formula>
    </cfRule>
  </conditionalFormatting>
  <conditionalFormatting sqref="Q53">
    <cfRule type="containsText" dxfId="84" priority="118" operator="containsText" text="AB">
      <formula>NOT(ISERROR(SEARCH("AB",Q53)))</formula>
    </cfRule>
    <cfRule type="containsText" dxfId="83" priority="119" operator="containsText" text="AB">
      <formula>NOT(ISERROR(SEARCH("AB",Q53)))</formula>
    </cfRule>
  </conditionalFormatting>
  <conditionalFormatting sqref="R53:S53">
    <cfRule type="containsText" dxfId="82" priority="117" operator="containsText" text="AB">
      <formula>NOT(ISERROR(SEARCH("AB",R53)))</formula>
    </cfRule>
  </conditionalFormatting>
  <conditionalFormatting sqref="R53:S53">
    <cfRule type="containsText" dxfId="81" priority="115" operator="containsText" text="AB">
      <formula>NOT(ISERROR(SEARCH("AB",R53)))</formula>
    </cfRule>
    <cfRule type="containsText" dxfId="80" priority="116" operator="containsText" text="AB">
      <formula>NOT(ISERROR(SEARCH("AB",R53)))</formula>
    </cfRule>
  </conditionalFormatting>
  <conditionalFormatting sqref="T53">
    <cfRule type="containsText" dxfId="79" priority="114" operator="containsText" text="AB">
      <formula>NOT(ISERROR(SEARCH("AB",T53)))</formula>
    </cfRule>
  </conditionalFormatting>
  <conditionalFormatting sqref="U53:AA53">
    <cfRule type="containsText" dxfId="78" priority="111" operator="containsText" text="AB">
      <formula>NOT(ISERROR(SEARCH("AB",U53)))</formula>
    </cfRule>
  </conditionalFormatting>
  <conditionalFormatting sqref="U53:AA53">
    <cfRule type="containsText" dxfId="77" priority="109" operator="containsText" text="AB">
      <formula>NOT(ISERROR(SEARCH("AB",U53)))</formula>
    </cfRule>
    <cfRule type="containsText" dxfId="76" priority="110" operator="containsText" text="AB">
      <formula>NOT(ISERROR(SEARCH("AB",U53)))</formula>
    </cfRule>
  </conditionalFormatting>
  <conditionalFormatting sqref="AB53">
    <cfRule type="containsText" dxfId="75" priority="108" operator="containsText" text="AB">
      <formula>NOT(ISERROR(SEARCH("AB",AB53)))</formula>
    </cfRule>
  </conditionalFormatting>
  <conditionalFormatting sqref="AB53">
    <cfRule type="containsText" dxfId="74" priority="106" operator="containsText" text="AB">
      <formula>NOT(ISERROR(SEARCH("AB",AB53)))</formula>
    </cfRule>
    <cfRule type="containsText" dxfId="73" priority="107" operator="containsText" text="AB">
      <formula>NOT(ISERROR(SEARCH("AB",AB53)))</formula>
    </cfRule>
  </conditionalFormatting>
  <conditionalFormatting sqref="AB53">
    <cfRule type="containsText" dxfId="72" priority="105" operator="containsText" text="AB">
      <formula>NOT(ISERROR(SEARCH("AB",AB53)))</formula>
    </cfRule>
  </conditionalFormatting>
  <conditionalFormatting sqref="C52:W52">
    <cfRule type="containsText" dxfId="71" priority="104" operator="containsText" text="AB">
      <formula>NOT(ISERROR(SEARCH("AB",C52)))</formula>
    </cfRule>
  </conditionalFormatting>
  <conditionalFormatting sqref="C52:W52">
    <cfRule type="containsText" dxfId="70" priority="102" operator="containsText" text="AB">
      <formula>NOT(ISERROR(SEARCH("AB",C52)))</formula>
    </cfRule>
    <cfRule type="containsText" dxfId="69" priority="103" operator="containsText" text="AB">
      <formula>NOT(ISERROR(SEARCH("AB",C52)))</formula>
    </cfRule>
  </conditionalFormatting>
  <conditionalFormatting sqref="A52:A54">
    <cfRule type="containsText" dxfId="68" priority="98" operator="containsText" text="AB">
      <formula>NOT(ISERROR(SEARCH("AB",A52)))</formula>
    </cfRule>
    <cfRule type="containsText" dxfId="67" priority="99" operator="containsText" text="AB">
      <formula>NOT(ISERROR(SEARCH("AB",A52)))</formula>
    </cfRule>
  </conditionalFormatting>
  <conditionalFormatting sqref="AB46:AC46 J47:AC47">
    <cfRule type="containsText" dxfId="66" priority="95" operator="containsText" text="AB">
      <formula>NOT(ISERROR(SEARCH("AB",J46)))</formula>
    </cfRule>
  </conditionalFormatting>
  <conditionalFormatting sqref="AB46:AC46 J47:AC47">
    <cfRule type="containsText" dxfId="65" priority="96" operator="containsText" text="AB">
      <formula>NOT(ISERROR(SEARCH("AB",J46)))</formula>
    </cfRule>
    <cfRule type="containsText" dxfId="64" priority="97" operator="containsText" text="AB">
      <formula>NOT(ISERROR(SEARCH("AB",J46)))</formula>
    </cfRule>
  </conditionalFormatting>
  <conditionalFormatting sqref="I47">
    <cfRule type="containsText" dxfId="63" priority="93" operator="containsText" text="AB">
      <formula>NOT(ISERROR(SEARCH("AB",I47)))</formula>
    </cfRule>
    <cfRule type="containsText" dxfId="62" priority="94" operator="containsText" text="AB">
      <formula>NOT(ISERROR(SEARCH("AB",I47)))</formula>
    </cfRule>
  </conditionalFormatting>
  <conditionalFormatting sqref="C47:H47">
    <cfRule type="containsText" dxfId="61" priority="92" operator="containsText" text="AB">
      <formula>NOT(ISERROR(SEARCH("AB",C47)))</formula>
    </cfRule>
  </conditionalFormatting>
  <conditionalFormatting sqref="C47:H47">
    <cfRule type="containsText" dxfId="60" priority="90" operator="containsText" text="AB">
      <formula>NOT(ISERROR(SEARCH("AB",C47)))</formula>
    </cfRule>
    <cfRule type="containsText" dxfId="59" priority="91" operator="containsText" text="AB">
      <formula>NOT(ISERROR(SEARCH("AB",C47)))</formula>
    </cfRule>
  </conditionalFormatting>
  <conditionalFormatting sqref="C46:AA46">
    <cfRule type="containsText" dxfId="58" priority="89" operator="containsText" text="AB">
      <formula>NOT(ISERROR(SEARCH("AB",C46)))</formula>
    </cfRule>
  </conditionalFormatting>
  <conditionalFormatting sqref="C46:AA46">
    <cfRule type="containsText" dxfId="57" priority="87" operator="containsText" text="AB">
      <formula>NOT(ISERROR(SEARCH("AB",C46)))</formula>
    </cfRule>
    <cfRule type="containsText" dxfId="56" priority="88" operator="containsText" text="AB">
      <formula>NOT(ISERROR(SEARCH("AB",C46)))</formula>
    </cfRule>
  </conditionalFormatting>
  <conditionalFormatting sqref="J98:AG99 C97:AG97">
    <cfRule type="containsText" dxfId="55" priority="84" operator="containsText" text="AB">
      <formula>NOT(ISERROR(SEARCH("AB",C97)))</formula>
    </cfRule>
  </conditionalFormatting>
  <conditionalFormatting sqref="C97:AG99">
    <cfRule type="containsText" dxfId="54" priority="85" operator="containsText" text="AB">
      <formula>NOT(ISERROR(SEARCH("AB",C97)))</formula>
    </cfRule>
    <cfRule type="containsText" dxfId="53" priority="86" operator="containsText" text="AB">
      <formula>NOT(ISERROR(SEARCH("AB",C97)))</formula>
    </cfRule>
  </conditionalFormatting>
  <conditionalFormatting sqref="C98:H99">
    <cfRule type="containsText" dxfId="52" priority="75" operator="containsText" text="AB">
      <formula>NOT(ISERROR(SEARCH("AB",C98)))</formula>
    </cfRule>
  </conditionalFormatting>
  <conditionalFormatting sqref="AS97:XFD99">
    <cfRule type="containsText" dxfId="51" priority="73" operator="containsText" text="AB">
      <formula>NOT(ISERROR(SEARCH("AB",AS97)))</formula>
    </cfRule>
    <cfRule type="containsText" dxfId="50" priority="74" operator="containsText" text="AB">
      <formula>NOT(ISERROR(SEARCH("AB",AS97)))</formula>
    </cfRule>
  </conditionalFormatting>
  <conditionalFormatting sqref="AL97:AN97">
    <cfRule type="containsText" dxfId="49" priority="71" operator="containsText" text="AB">
      <formula>NOT(ISERROR(SEARCH("AB",AL97)))</formula>
    </cfRule>
    <cfRule type="containsText" dxfId="48" priority="72" operator="containsText" text="AB">
      <formula>NOT(ISERROR(SEARCH("AB",AL97)))</formula>
    </cfRule>
  </conditionalFormatting>
  <conditionalFormatting sqref="J101:AG102 C100:AG100">
    <cfRule type="containsText" dxfId="47" priority="66" operator="containsText" text="AB">
      <formula>NOT(ISERROR(SEARCH("AB",C100)))</formula>
    </cfRule>
  </conditionalFormatting>
  <conditionalFormatting sqref="C100:AG102">
    <cfRule type="containsText" dxfId="46" priority="67" operator="containsText" text="AB">
      <formula>NOT(ISERROR(SEARCH("AB",C100)))</formula>
    </cfRule>
    <cfRule type="containsText" dxfId="45" priority="68" operator="containsText" text="AB">
      <formula>NOT(ISERROR(SEARCH("AB",C100)))</formula>
    </cfRule>
  </conditionalFormatting>
  <conditionalFormatting sqref="C101:H102">
    <cfRule type="containsText" dxfId="44" priority="57" operator="containsText" text="AB">
      <formula>NOT(ISERROR(SEARCH("AB",C101)))</formula>
    </cfRule>
  </conditionalFormatting>
  <conditionalFormatting sqref="AS100:XFD102">
    <cfRule type="containsText" dxfId="43" priority="55" operator="containsText" text="AB">
      <formula>NOT(ISERROR(SEARCH("AB",AS100)))</formula>
    </cfRule>
    <cfRule type="containsText" dxfId="42" priority="56" operator="containsText" text="AB">
      <formula>NOT(ISERROR(SEARCH("AB",AS100)))</formula>
    </cfRule>
  </conditionalFormatting>
  <conditionalFormatting sqref="AL100:AN100">
    <cfRule type="containsText" dxfId="41" priority="53" operator="containsText" text="AB">
      <formula>NOT(ISERROR(SEARCH("AB",AL100)))</formula>
    </cfRule>
    <cfRule type="containsText" dxfId="40" priority="54" operator="containsText" text="AB">
      <formula>NOT(ISERROR(SEARCH("AB",AL100)))</formula>
    </cfRule>
  </conditionalFormatting>
  <conditionalFormatting sqref="J104:AG105 C103:AG103">
    <cfRule type="containsText" dxfId="39" priority="48" operator="containsText" text="AB">
      <formula>NOT(ISERROR(SEARCH("AB",C103)))</formula>
    </cfRule>
  </conditionalFormatting>
  <conditionalFormatting sqref="C103:AG105">
    <cfRule type="containsText" dxfId="38" priority="49" operator="containsText" text="AB">
      <formula>NOT(ISERROR(SEARCH("AB",C103)))</formula>
    </cfRule>
    <cfRule type="containsText" dxfId="37" priority="50" operator="containsText" text="AB">
      <formula>NOT(ISERROR(SEARCH("AB",C103)))</formula>
    </cfRule>
  </conditionalFormatting>
  <conditionalFormatting sqref="C104:H105">
    <cfRule type="containsText" dxfId="36" priority="39" operator="containsText" text="AB">
      <formula>NOT(ISERROR(SEARCH("AB",C104)))</formula>
    </cfRule>
  </conditionalFormatting>
  <conditionalFormatting sqref="AS103:XFD105">
    <cfRule type="containsText" dxfId="35" priority="37" operator="containsText" text="AB">
      <formula>NOT(ISERROR(SEARCH("AB",AS103)))</formula>
    </cfRule>
    <cfRule type="containsText" dxfId="34" priority="38" operator="containsText" text="AB">
      <formula>NOT(ISERROR(SEARCH("AB",AS103)))</formula>
    </cfRule>
  </conditionalFormatting>
  <conditionalFormatting sqref="AL103:AN103">
    <cfRule type="containsText" dxfId="33" priority="35" operator="containsText" text="AB">
      <formula>NOT(ISERROR(SEARCH("AB",AL103)))</formula>
    </cfRule>
    <cfRule type="containsText" dxfId="32" priority="36" operator="containsText" text="AB">
      <formula>NOT(ISERROR(SEARCH("AB",AL103)))</formula>
    </cfRule>
  </conditionalFormatting>
  <conditionalFormatting sqref="AA65:AF65">
    <cfRule type="containsText" dxfId="31" priority="27" operator="containsText" text="AB">
      <formula>NOT(ISERROR(SEARCH("AB",AA65)))</formula>
    </cfRule>
  </conditionalFormatting>
  <conditionalFormatting sqref="AA65:AF65">
    <cfRule type="containsText" dxfId="30" priority="31" operator="containsText" text="AB">
      <formula>NOT(ISERROR(SEARCH("AB",AA65)))</formula>
    </cfRule>
    <cfRule type="containsText" dxfId="29" priority="32" operator="containsText" text="AB">
      <formula>NOT(ISERROR(SEARCH("AB",AA65)))</formula>
    </cfRule>
  </conditionalFormatting>
  <conditionalFormatting sqref="Z65">
    <cfRule type="containsText" dxfId="28" priority="30" operator="containsText" text="AB">
      <formula>NOT(ISERROR(SEARCH("AB",Z65)))</formula>
    </cfRule>
  </conditionalFormatting>
  <conditionalFormatting sqref="Z65">
    <cfRule type="containsText" dxfId="27" priority="28" operator="containsText" text="AB">
      <formula>NOT(ISERROR(SEARCH("AB",Z65)))</formula>
    </cfRule>
    <cfRule type="containsText" dxfId="26" priority="29" operator="containsText" text="AB">
      <formula>NOT(ISERROR(SEARCH("AB",Z65)))</formula>
    </cfRule>
  </conditionalFormatting>
  <conditionalFormatting sqref="AA71:AF71">
    <cfRule type="containsText" dxfId="25" priority="21" operator="containsText" text="AB">
      <formula>NOT(ISERROR(SEARCH("AB",AA71)))</formula>
    </cfRule>
  </conditionalFormatting>
  <conditionalFormatting sqref="AA71:AF71">
    <cfRule type="containsText" dxfId="24" priority="25" operator="containsText" text="AB">
      <formula>NOT(ISERROR(SEARCH("AB",AA71)))</formula>
    </cfRule>
    <cfRule type="containsText" dxfId="23" priority="26" operator="containsText" text="AB">
      <formula>NOT(ISERROR(SEARCH("AB",AA71)))</formula>
    </cfRule>
  </conditionalFormatting>
  <conditionalFormatting sqref="Z71">
    <cfRule type="containsText" dxfId="22" priority="24" operator="containsText" text="AB">
      <formula>NOT(ISERROR(SEARCH("AB",Z71)))</formula>
    </cfRule>
  </conditionalFormatting>
  <conditionalFormatting sqref="Z71">
    <cfRule type="containsText" dxfId="21" priority="22" operator="containsText" text="AB">
      <formula>NOT(ISERROR(SEARCH("AB",Z71)))</formula>
    </cfRule>
    <cfRule type="containsText" dxfId="20" priority="23" operator="containsText" text="AB">
      <formula>NOT(ISERROR(SEARCH("AB",Z71)))</formula>
    </cfRule>
  </conditionalFormatting>
  <conditionalFormatting sqref="AA95:AF95">
    <cfRule type="containsText" dxfId="19" priority="15" operator="containsText" text="AB">
      <formula>NOT(ISERROR(SEARCH("AB",AA95)))</formula>
    </cfRule>
  </conditionalFormatting>
  <conditionalFormatting sqref="AA95:AF95">
    <cfRule type="containsText" dxfId="18" priority="19" operator="containsText" text="AB">
      <formula>NOT(ISERROR(SEARCH("AB",AA95)))</formula>
    </cfRule>
    <cfRule type="containsText" dxfId="17" priority="20" operator="containsText" text="AB">
      <formula>NOT(ISERROR(SEARCH("AB",AA95)))</formula>
    </cfRule>
  </conditionalFormatting>
  <conditionalFormatting sqref="Z95">
    <cfRule type="containsText" dxfId="16" priority="18" operator="containsText" text="AB">
      <formula>NOT(ISERROR(SEARCH("AB",Z95)))</formula>
    </cfRule>
  </conditionalFormatting>
  <conditionalFormatting sqref="Z95">
    <cfRule type="containsText" dxfId="15" priority="16" operator="containsText" text="AB">
      <formula>NOT(ISERROR(SEARCH("AB",Z95)))</formula>
    </cfRule>
    <cfRule type="containsText" dxfId="14" priority="17" operator="containsText" text="AB">
      <formula>NOT(ISERROR(SEARCH("AB",Z95)))</formula>
    </cfRule>
  </conditionalFormatting>
  <conditionalFormatting sqref="AH58:AH105">
    <cfRule type="containsText" dxfId="13" priority="13" operator="containsText" text="AB">
      <formula>NOT(ISERROR(SEARCH("AB",AH58)))</formula>
    </cfRule>
    <cfRule type="containsText" dxfId="12" priority="14" operator="containsText" text="AB">
      <formula>NOT(ISERROR(SEARCH("AB",AH58)))</formula>
    </cfRule>
  </conditionalFormatting>
  <conditionalFormatting sqref="AI58:AI105">
    <cfRule type="containsText" dxfId="11" priority="11" operator="containsText" text="AB">
      <formula>NOT(ISERROR(SEARCH("AB",AI58)))</formula>
    </cfRule>
    <cfRule type="containsText" dxfId="10" priority="12" operator="containsText" text="AB">
      <formula>NOT(ISERROR(SEARCH("AB",AI58)))</formula>
    </cfRule>
  </conditionalFormatting>
  <conditionalFormatting sqref="AJ58 AJ61 AJ64 AJ67 AJ70 AJ73 AJ76 AJ79 AJ82 AJ85 AJ88 AJ91 AJ94 AJ97 AJ100 AJ103">
    <cfRule type="containsText" dxfId="9" priority="9" operator="containsText" text="AB">
      <formula>NOT(ISERROR(SEARCH("AB",AJ58)))</formula>
    </cfRule>
    <cfRule type="containsText" dxfId="8" priority="10" operator="containsText" text="AB">
      <formula>NOT(ISERROR(SEARCH("AB",AJ58)))</formula>
    </cfRule>
  </conditionalFormatting>
  <conditionalFormatting sqref="AJ46 AJ49 AJ52">
    <cfRule type="containsText" dxfId="7" priority="7" operator="containsText" text="AB">
      <formula>NOT(ISERROR(SEARCH("AB",AJ46)))</formula>
    </cfRule>
    <cfRule type="containsText" dxfId="6" priority="8" operator="containsText" text="AB">
      <formula>NOT(ISERROR(SEARCH("AB",AJ46)))</formula>
    </cfRule>
  </conditionalFormatting>
  <conditionalFormatting sqref="AH46:AH54">
    <cfRule type="containsText" dxfId="5" priority="5" operator="containsText" text="AB">
      <formula>NOT(ISERROR(SEARCH("AB",AH46)))</formula>
    </cfRule>
    <cfRule type="containsText" dxfId="4" priority="6" operator="containsText" text="AB">
      <formula>NOT(ISERROR(SEARCH("AB",AH46)))</formula>
    </cfRule>
  </conditionalFormatting>
  <conditionalFormatting sqref="AI46:AI54">
    <cfRule type="containsText" dxfId="3" priority="3" operator="containsText" text="AB">
      <formula>NOT(ISERROR(SEARCH("AB",AI46)))</formula>
    </cfRule>
    <cfRule type="containsText" dxfId="2" priority="4" operator="containsText" text="AB">
      <formula>NOT(ISERROR(SEARCH("AB",AI46)))</formula>
    </cfRule>
  </conditionalFormatting>
  <conditionalFormatting sqref="AO46">
    <cfRule type="containsText" dxfId="1" priority="1" operator="containsText" text="AB">
      <formula>NOT(ISERROR(SEARCH("AB",AO46)))</formula>
    </cfRule>
    <cfRule type="containsText" dxfId="0" priority="2" operator="containsText" text="AB">
      <formula>NOT(ISERROR(SEARCH("AB",AO46)))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Augest -2024</vt:lpstr>
      <vt:lpstr>BILL-1</vt:lpstr>
      <vt:lpstr>BILL-2</vt:lpstr>
      <vt:lpstr>SEP-24</vt:lpstr>
      <vt:lpstr>Oct-24</vt:lpstr>
      <vt:lpstr>Nov-24</vt:lpstr>
      <vt:lpstr>Dec-24</vt:lpstr>
      <vt:lpstr>Sheet1</vt:lpstr>
      <vt:lpstr>MAY-26</vt:lpstr>
      <vt:lpstr>'Augest -2024'!Print_Area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2026-06-04T10:24:02Z</dcterms:modified>
</cp:coreProperties>
</file>