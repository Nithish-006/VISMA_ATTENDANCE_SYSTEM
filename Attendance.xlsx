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ith\Downloads\"/>
    </mc:Choice>
  </mc:AlternateContent>
  <xr:revisionPtr revIDLastSave="0" documentId="13_ncr:1_{0BDFCFC3-971F-4922-9B5F-2223C18E2157}" xr6:coauthVersionLast="47" xr6:coauthVersionMax="47" xr10:uidLastSave="{00000000-0000-0000-0000-000000000000}"/>
  <bookViews>
    <workbookView xWindow="-120" yWindow="-120" windowWidth="38640" windowHeight="21120" activeTab="1" xr2:uid="{B4491011-222D-4D07-B454-E553354256CF}"/>
  </bookViews>
  <sheets>
    <sheet name="Sheet1" sheetId="1" r:id="rId1"/>
    <sheet name="DE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U21" i="2" l="1"/>
  <c r="CX21" i="2" s="1"/>
  <c r="CT21" i="2"/>
  <c r="CW21" i="2" s="1"/>
  <c r="CS21" i="2"/>
  <c r="CU20" i="2"/>
  <c r="CX20" i="2" s="1"/>
  <c r="CT20" i="2"/>
  <c r="CW20" i="2" s="1"/>
  <c r="CY20" i="2" s="1"/>
  <c r="CS20" i="2"/>
  <c r="CU19" i="2"/>
  <c r="CX19" i="2" s="1"/>
  <c r="CT19" i="2"/>
  <c r="CW19" i="2" s="1"/>
  <c r="CS19" i="2"/>
  <c r="CU18" i="2"/>
  <c r="CX18" i="2" s="1"/>
  <c r="CT18" i="2"/>
  <c r="CW18" i="2" s="1"/>
  <c r="CS18" i="2"/>
  <c r="CU17" i="2"/>
  <c r="CX17" i="2" s="1"/>
  <c r="CT17" i="2"/>
  <c r="CW17" i="2" s="1"/>
  <c r="CS17" i="2"/>
  <c r="CU16" i="2"/>
  <c r="CX16" i="2" s="1"/>
  <c r="CT16" i="2"/>
  <c r="CW16" i="2" s="1"/>
  <c r="CY16" i="2" s="1"/>
  <c r="CS16" i="2"/>
  <c r="CU15" i="2"/>
  <c r="CX15" i="2" s="1"/>
  <c r="CT15" i="2"/>
  <c r="CW15" i="2" s="1"/>
  <c r="CS15" i="2"/>
  <c r="CU14" i="2"/>
  <c r="CX14" i="2" s="1"/>
  <c r="CT14" i="2"/>
  <c r="CW14" i="2" s="1"/>
  <c r="CS14" i="2"/>
  <c r="CX13" i="2"/>
  <c r="CU13" i="2"/>
  <c r="CT13" i="2"/>
  <c r="CW13" i="2" s="1"/>
  <c r="CS13" i="2"/>
  <c r="CU12" i="2"/>
  <c r="CX12" i="2" s="1"/>
  <c r="CT12" i="2"/>
  <c r="CW12" i="2" s="1"/>
  <c r="CY12" i="2" s="1"/>
  <c r="CS12" i="2"/>
  <c r="CU11" i="2"/>
  <c r="CX11" i="2" s="1"/>
  <c r="CT11" i="2"/>
  <c r="CW11" i="2" s="1"/>
  <c r="CY11" i="2" s="1"/>
  <c r="CS11" i="2"/>
  <c r="CU10" i="2"/>
  <c r="CX10" i="2" s="1"/>
  <c r="CT10" i="2"/>
  <c r="CW10" i="2" s="1"/>
  <c r="CY10" i="2" s="1"/>
  <c r="CS10" i="2"/>
  <c r="CU9" i="2"/>
  <c r="CX9" i="2" s="1"/>
  <c r="CT9" i="2"/>
  <c r="CW9" i="2" s="1"/>
  <c r="CS9" i="2"/>
  <c r="CX8" i="2"/>
  <c r="CU8" i="2"/>
  <c r="CT8" i="2"/>
  <c r="CW8" i="2" s="1"/>
  <c r="CY8" i="2" s="1"/>
  <c r="CS8" i="2"/>
  <c r="CU7" i="2"/>
  <c r="CX7" i="2" s="1"/>
  <c r="CT7" i="2"/>
  <c r="CW7" i="2" s="1"/>
  <c r="CS7" i="2"/>
  <c r="CW6" i="2"/>
  <c r="CU6" i="2"/>
  <c r="CX6" i="2" s="1"/>
  <c r="CT6" i="2"/>
  <c r="CS6" i="2"/>
  <c r="CU5" i="2"/>
  <c r="CX5" i="2" s="1"/>
  <c r="CT5" i="2"/>
  <c r="CW5" i="2" s="1"/>
  <c r="CS5" i="2"/>
  <c r="CU4" i="2"/>
  <c r="CX4" i="2" s="1"/>
  <c r="CT4" i="2"/>
  <c r="CW4" i="2" s="1"/>
  <c r="CS4" i="2"/>
  <c r="CU3" i="2"/>
  <c r="CX3" i="2" s="1"/>
  <c r="CT3" i="2"/>
  <c r="CW3" i="2" s="1"/>
  <c r="CS3" i="2"/>
  <c r="CY19" i="2" l="1"/>
  <c r="CY15" i="2"/>
  <c r="CY4" i="2"/>
  <c r="CY9" i="2"/>
  <c r="CY7" i="2"/>
  <c r="CY21" i="2"/>
  <c r="CY13" i="2"/>
  <c r="CY5" i="2"/>
  <c r="CY17" i="2"/>
  <c r="CY14" i="2"/>
  <c r="CY6" i="2"/>
  <c r="CY18" i="2"/>
  <c r="CY3" i="2"/>
  <c r="BB23" i="1"/>
  <c r="BE23" i="1" s="1"/>
  <c r="BA23" i="1"/>
  <c r="BD23" i="1" s="1"/>
  <c r="AZ23" i="1"/>
  <c r="BB22" i="1"/>
  <c r="BE22" i="1" s="1"/>
  <c r="BA22" i="1"/>
  <c r="BD22" i="1" s="1"/>
  <c r="BF22" i="1" s="1"/>
  <c r="AZ22" i="1"/>
  <c r="BB21" i="1"/>
  <c r="BE21" i="1" s="1"/>
  <c r="BA21" i="1"/>
  <c r="BD21" i="1" s="1"/>
  <c r="BF21" i="1" s="1"/>
  <c r="AZ21" i="1"/>
  <c r="BD20" i="1"/>
  <c r="BB20" i="1"/>
  <c r="BE20" i="1" s="1"/>
  <c r="BA20" i="1"/>
  <c r="AZ20" i="1"/>
  <c r="BB19" i="1"/>
  <c r="BE19" i="1" s="1"/>
  <c r="BA19" i="1"/>
  <c r="BD19" i="1" s="1"/>
  <c r="AZ19" i="1"/>
  <c r="BD18" i="1"/>
  <c r="BB18" i="1"/>
  <c r="BE18" i="1" s="1"/>
  <c r="BA18" i="1"/>
  <c r="AZ18" i="1"/>
  <c r="BE17" i="1"/>
  <c r="BB17" i="1"/>
  <c r="BA17" i="1"/>
  <c r="BD17" i="1" s="1"/>
  <c r="BF17" i="1" s="1"/>
  <c r="AZ17" i="1"/>
  <c r="BB16" i="1"/>
  <c r="BE16" i="1" s="1"/>
  <c r="BA16" i="1"/>
  <c r="BD16" i="1" s="1"/>
  <c r="BF16" i="1" s="1"/>
  <c r="AZ16" i="1"/>
  <c r="BB15" i="1"/>
  <c r="BE15" i="1" s="1"/>
  <c r="BA15" i="1"/>
  <c r="BD15" i="1" s="1"/>
  <c r="AZ15" i="1"/>
  <c r="BB14" i="1"/>
  <c r="BE14" i="1" s="1"/>
  <c r="BA14" i="1"/>
  <c r="BD14" i="1" s="1"/>
  <c r="BF14" i="1" s="1"/>
  <c r="AZ14" i="1"/>
  <c r="BB13" i="1"/>
  <c r="BE13" i="1" s="1"/>
  <c r="BA13" i="1"/>
  <c r="BD13" i="1" s="1"/>
  <c r="BF13" i="1" s="1"/>
  <c r="AZ13" i="1"/>
  <c r="BB12" i="1"/>
  <c r="BE12" i="1" s="1"/>
  <c r="BA12" i="1"/>
  <c r="BD12" i="1" s="1"/>
  <c r="AZ12" i="1"/>
  <c r="BE11" i="1"/>
  <c r="BB11" i="1"/>
  <c r="BA11" i="1"/>
  <c r="BD11" i="1" s="1"/>
  <c r="BF11" i="1" s="1"/>
  <c r="AZ11" i="1"/>
  <c r="BD10" i="1"/>
  <c r="BB10" i="1"/>
  <c r="BE10" i="1" s="1"/>
  <c r="BA10" i="1"/>
  <c r="AZ10" i="1"/>
  <c r="BE9" i="1"/>
  <c r="BB9" i="1"/>
  <c r="BA9" i="1"/>
  <c r="BD9" i="1" s="1"/>
  <c r="AZ9" i="1"/>
  <c r="BB8" i="1"/>
  <c r="BE8" i="1" s="1"/>
  <c r="BA8" i="1"/>
  <c r="BD8" i="1" s="1"/>
  <c r="BF8" i="1" s="1"/>
  <c r="AZ8" i="1"/>
  <c r="BB7" i="1"/>
  <c r="BE7" i="1" s="1"/>
  <c r="BA7" i="1"/>
  <c r="BD7" i="1" s="1"/>
  <c r="AZ7" i="1"/>
  <c r="BB6" i="1"/>
  <c r="BE6" i="1" s="1"/>
  <c r="BA6" i="1"/>
  <c r="BD6" i="1" s="1"/>
  <c r="BF6" i="1" s="1"/>
  <c r="AZ6" i="1"/>
  <c r="BB5" i="1"/>
  <c r="BE5" i="1" s="1"/>
  <c r="BA5" i="1"/>
  <c r="BD5" i="1" s="1"/>
  <c r="BF5" i="1" s="1"/>
  <c r="AZ5" i="1"/>
  <c r="CY22" i="2" l="1"/>
  <c r="CY24" i="2" s="1"/>
  <c r="BF7" i="1"/>
  <c r="BF9" i="1"/>
  <c r="BF15" i="1"/>
  <c r="BF23" i="1"/>
  <c r="BF19" i="1"/>
  <c r="BF10" i="1"/>
  <c r="BF20" i="1"/>
  <c r="BF12" i="1"/>
  <c r="BF18" i="1"/>
  <c r="BF24" i="1" l="1"/>
  <c r="BF26" i="1" s="1"/>
  <c r="E2" i="1"/>
</calcChain>
</file>

<file path=xl/sharedStrings.xml><?xml version="1.0" encoding="utf-8"?>
<sst xmlns="http://schemas.openxmlformats.org/spreadsheetml/2006/main" count="1405" uniqueCount="87">
  <si>
    <t>LABOUR ATTENDANCE   FOR  DEC-25</t>
  </si>
  <si>
    <t>S. No</t>
  </si>
  <si>
    <t>Name</t>
  </si>
  <si>
    <t>DESIGNATION</t>
  </si>
  <si>
    <t>2 SUNDAY</t>
  </si>
  <si>
    <t>9 SUNDAY</t>
  </si>
  <si>
    <t>16 SUNDAY</t>
  </si>
  <si>
    <t>DEC MONTH LABOUR ATTENDANCE &amp; PAYEMNT</t>
  </si>
  <si>
    <t>OT</t>
  </si>
  <si>
    <t>Pr</t>
  </si>
  <si>
    <t>off day working</t>
  </si>
  <si>
    <t>TOTAL PRESENT</t>
  </si>
  <si>
    <t>SALARY</t>
  </si>
  <si>
    <t>TOTAL SALARY</t>
  </si>
  <si>
    <t>OT SALARY</t>
  </si>
  <si>
    <t>RAJEEB</t>
  </si>
  <si>
    <t>Rajeev kumar</t>
  </si>
  <si>
    <t>FITTER</t>
  </si>
  <si>
    <t>P</t>
  </si>
  <si>
    <t>SVEM</t>
  </si>
  <si>
    <t>RCH CT</t>
  </si>
  <si>
    <t>RCH CB</t>
  </si>
  <si>
    <t>C</t>
  </si>
  <si>
    <t>SURENDHAR CHOUDRY</t>
  </si>
  <si>
    <t>WELDER</t>
  </si>
  <si>
    <t>RCH</t>
  </si>
  <si>
    <t>p</t>
  </si>
  <si>
    <t>svem</t>
  </si>
  <si>
    <t>RCH GAS</t>
  </si>
  <si>
    <t>A</t>
  </si>
  <si>
    <t>DILIP</t>
  </si>
  <si>
    <t>HELPER</t>
  </si>
  <si>
    <t>CB</t>
  </si>
  <si>
    <t>RCH GAS MANI</t>
  </si>
  <si>
    <t>RAMBALAK</t>
  </si>
  <si>
    <t>GORELAL</t>
  </si>
  <si>
    <t>Rch Cb</t>
  </si>
  <si>
    <t>rch cb</t>
  </si>
  <si>
    <t>GURUDEV</t>
  </si>
  <si>
    <t>RCH GM</t>
  </si>
  <si>
    <t xml:space="preserve">NITHISH </t>
  </si>
  <si>
    <t>KUNDAN</t>
  </si>
  <si>
    <t>c</t>
  </si>
  <si>
    <t>HIMANSHU (B)</t>
  </si>
  <si>
    <t>RIGGER</t>
  </si>
  <si>
    <t>SURAI RAM</t>
  </si>
  <si>
    <t>RCH MANI</t>
  </si>
  <si>
    <t>RCH GAS MANIFILD</t>
  </si>
  <si>
    <t>cb</t>
  </si>
  <si>
    <t>Rch gas mani</t>
  </si>
  <si>
    <t>Rch dinning</t>
  </si>
  <si>
    <t>RCH GAS MANIFOLD</t>
  </si>
  <si>
    <t>NIRAJ</t>
  </si>
  <si>
    <t>PRINCE</t>
  </si>
  <si>
    <t xml:space="preserve">SURAJ </t>
  </si>
  <si>
    <t>RCH MANIFOLD</t>
  </si>
  <si>
    <t>gm</t>
  </si>
  <si>
    <t>Rch cb</t>
  </si>
  <si>
    <t>HIMANSHU GUPTA</t>
  </si>
  <si>
    <t>RAVI</t>
  </si>
  <si>
    <t>RCH Dinning</t>
  </si>
  <si>
    <t>DHILIP</t>
  </si>
  <si>
    <t>DURGARAM</t>
  </si>
  <si>
    <t>MANUKUMAR</t>
  </si>
  <si>
    <t>ROHITH KUMAR</t>
  </si>
  <si>
    <t>TOTAL SALARY FOR DEC</t>
  </si>
  <si>
    <t>DEC ADVANCE</t>
  </si>
  <si>
    <t>BALANCE</t>
  </si>
  <si>
    <t>14.01.26</t>
  </si>
  <si>
    <t>23.01.26</t>
  </si>
  <si>
    <t>TEAM</t>
  </si>
  <si>
    <t>RAJU</t>
  </si>
  <si>
    <t>KEDHAR</t>
  </si>
  <si>
    <t>23 SUNDAY</t>
  </si>
  <si>
    <t>30 SUNDAY</t>
  </si>
  <si>
    <t>31 SUNDAY</t>
  </si>
  <si>
    <t>RCH LPG</t>
  </si>
  <si>
    <t>gas plant</t>
  </si>
  <si>
    <t>GAS MANI</t>
  </si>
  <si>
    <t xml:space="preserve">RCH GAS </t>
  </si>
  <si>
    <t>H</t>
  </si>
  <si>
    <t>CT</t>
  </si>
  <si>
    <t>RCH  MANI</t>
  </si>
  <si>
    <t xml:space="preserve">Rch gas </t>
  </si>
  <si>
    <t>SEM</t>
  </si>
  <si>
    <t>gas pt</t>
  </si>
  <si>
    <t>GAS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</si>
</sst>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sz val="9"/>
      <color rgb="FF00B050"/>
      <name val="Arial"/>
      <family val="2"/>
    </font>
    <font>
      <b/>
      <sz val="9"/>
      <color rgb="FF00B050"/>
      <name val="Arial"/>
      <family val="2"/>
    </font>
    <font>
      <b/>
      <sz val="9"/>
      <color rgb="FF7030A0"/>
      <name val="Arial"/>
      <family val="2"/>
    </font>
    <font>
      <b/>
      <sz val="9"/>
      <color rgb="FF002060"/>
      <name val="Arial"/>
      <family val="2"/>
    </font>
    <font>
      <sz val="9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7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8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/>
    </xf>
    <xf numFmtId="0" fontId="5" fillId="7" borderId="4" xfId="0" applyFont="1" applyFill="1" applyBorder="1"/>
    <xf numFmtId="0" fontId="5" fillId="0" borderId="4" xfId="0" applyFont="1" applyBorder="1"/>
    <xf numFmtId="0" fontId="5" fillId="8" borderId="4" xfId="0" applyFont="1" applyFill="1" applyBorder="1"/>
    <xf numFmtId="0" fontId="3" fillId="0" borderId="0" xfId="0" applyFont="1" applyAlignment="1">
      <alignment horizontal="right"/>
    </xf>
    <xf numFmtId="0" fontId="5" fillId="0" borderId="11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7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0" fontId="7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" fontId="1" fillId="2" borderId="0" xfId="0" quotePrefix="1" applyNumberFormat="1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E997-B7CC-432E-BAF9-2915B618B04E}">
  <dimension ref="A1:BH29"/>
  <sheetViews>
    <sheetView workbookViewId="0">
      <selection activeCell="J24" sqref="J24"/>
    </sheetView>
  </sheetViews>
  <sheetFormatPr defaultColWidth="9.140625" defaultRowHeight="12" x14ac:dyDescent="0.2"/>
  <cols>
    <col min="1" max="1" width="9.140625" style="7"/>
    <col min="2" max="2" width="29.28515625" style="13" customWidth="1"/>
    <col min="3" max="3" width="25.42578125" style="9" customWidth="1"/>
    <col min="4" max="4" width="8.28515625" style="9" customWidth="1"/>
    <col min="5" max="5" width="10.42578125" style="7" customWidth="1"/>
    <col min="6" max="6" width="7.7109375" style="7" customWidth="1"/>
    <col min="7" max="7" width="7.5703125" style="7" customWidth="1"/>
    <col min="8" max="8" width="6.140625" style="7" customWidth="1"/>
    <col min="9" max="9" width="4.5703125" style="11" customWidth="1"/>
    <col min="10" max="10" width="7.140625" style="7" customWidth="1"/>
    <col min="11" max="12" width="4.5703125" style="7" customWidth="1"/>
    <col min="13" max="13" width="6.5703125" style="7" customWidth="1"/>
    <col min="14" max="15" width="4.5703125" style="7" customWidth="1"/>
    <col min="16" max="16" width="6.42578125" style="11" customWidth="1"/>
    <col min="17" max="18" width="4.5703125" style="7" customWidth="1"/>
    <col min="19" max="21" width="4.5703125" style="11" customWidth="1"/>
    <col min="22" max="22" width="7.42578125" style="7" customWidth="1"/>
    <col min="23" max="23" width="4.5703125" style="7" customWidth="1"/>
    <col min="24" max="24" width="6" style="7" customWidth="1"/>
    <col min="25" max="25" width="6.5703125" style="7" customWidth="1"/>
    <col min="26" max="27" width="4.5703125" style="7" customWidth="1"/>
    <col min="28" max="28" width="7.7109375" style="7" customWidth="1"/>
    <col min="29" max="29" width="4.5703125" style="7" customWidth="1"/>
    <col min="30" max="30" width="4.5703125" style="11" customWidth="1"/>
    <col min="31" max="33" width="4.5703125" style="7" customWidth="1"/>
    <col min="34" max="34" width="9.140625" style="7"/>
    <col min="35" max="35" width="6.7109375" style="7" customWidth="1"/>
    <col min="36" max="36" width="3.28515625" style="7" customWidth="1"/>
    <col min="37" max="37" width="7.42578125" style="11" customWidth="1"/>
    <col min="38" max="38" width="4.7109375" style="7" customWidth="1"/>
    <col min="39" max="39" width="4.5703125" style="7" customWidth="1"/>
    <col min="40" max="40" width="8" style="11" customWidth="1"/>
    <col min="41" max="41" width="4.85546875" style="11" customWidth="1"/>
    <col min="42" max="42" width="4.85546875" style="7" customWidth="1"/>
    <col min="43" max="43" width="7.7109375" style="11" customWidth="1"/>
    <col min="44" max="45" width="4.5703125" style="7" customWidth="1"/>
    <col min="46" max="46" width="4.5703125" style="11" customWidth="1"/>
    <col min="47" max="48" width="4.5703125" style="7" customWidth="1"/>
    <col min="49" max="50" width="4.5703125" style="11" customWidth="1"/>
    <col min="51" max="51" width="5.42578125" style="7" customWidth="1"/>
    <col min="52" max="52" width="14.7109375" style="11" customWidth="1"/>
    <col min="53" max="53" width="10" style="7" customWidth="1"/>
    <col min="54" max="54" width="9.42578125" style="7" customWidth="1"/>
    <col min="55" max="55" width="11.42578125" style="7" customWidth="1"/>
    <col min="56" max="56" width="10.28515625" style="7" customWidth="1"/>
    <col min="57" max="57" width="13.140625" style="12" customWidth="1"/>
    <col min="58" max="58" width="10.5703125" style="12" customWidth="1"/>
    <col min="59" max="59" width="10.42578125" style="7" customWidth="1"/>
    <col min="60" max="60" width="9.140625" style="13"/>
    <col min="61" max="61" width="14.5703125" style="11" customWidth="1"/>
    <col min="62" max="16384" width="9.140625" style="11"/>
  </cols>
  <sheetData>
    <row r="1" spans="1:60" s="4" customFormat="1" ht="19.5" customHeight="1" x14ac:dyDescent="0.25">
      <c r="A1" s="1" t="s">
        <v>0</v>
      </c>
      <c r="B1" s="1"/>
      <c r="C1" s="2"/>
      <c r="D1" s="2"/>
      <c r="E1" s="79"/>
      <c r="F1" s="79"/>
      <c r="G1" s="79"/>
      <c r="H1" s="3"/>
      <c r="J1" s="3"/>
      <c r="K1" s="3"/>
      <c r="L1" s="3"/>
      <c r="M1" s="3"/>
      <c r="N1" s="3"/>
      <c r="O1" s="3"/>
      <c r="Q1" s="3"/>
      <c r="R1" s="3"/>
      <c r="V1" s="3"/>
      <c r="W1" s="3"/>
      <c r="X1" s="3"/>
      <c r="Y1" s="3"/>
      <c r="Z1" s="3"/>
      <c r="AA1" s="3"/>
      <c r="AB1" s="3"/>
      <c r="AC1" s="3"/>
      <c r="AE1" s="3"/>
      <c r="AF1" s="3"/>
      <c r="AG1" s="3"/>
      <c r="AH1" s="3"/>
      <c r="AI1" s="3"/>
      <c r="AJ1" s="3"/>
      <c r="AL1" s="3"/>
      <c r="AM1" s="3"/>
      <c r="AP1" s="3"/>
      <c r="AR1" s="3"/>
      <c r="AS1" s="3"/>
      <c r="AU1" s="3"/>
      <c r="AV1" s="3"/>
      <c r="AY1" s="3"/>
      <c r="BA1" s="3"/>
      <c r="BB1" s="3"/>
      <c r="BC1" s="3"/>
      <c r="BD1" s="3"/>
      <c r="BE1" s="5"/>
      <c r="BF1" s="5"/>
      <c r="BG1" s="3"/>
      <c r="BH1" s="6"/>
    </row>
    <row r="2" spans="1:60" ht="15" customHeight="1" thickBot="1" x14ac:dyDescent="0.25">
      <c r="B2" s="8"/>
      <c r="E2" s="10">
        <f ca="1">E:AE</f>
        <v>0</v>
      </c>
    </row>
    <row r="3" spans="1:60" s="19" customFormat="1" ht="19.5" customHeight="1" x14ac:dyDescent="0.25">
      <c r="A3" s="14" t="s">
        <v>1</v>
      </c>
      <c r="B3" s="15" t="s">
        <v>2</v>
      </c>
      <c r="C3" s="16" t="s">
        <v>3</v>
      </c>
      <c r="D3" s="61" t="s">
        <v>70</v>
      </c>
      <c r="E3" s="78">
        <v>1</v>
      </c>
      <c r="F3" s="78"/>
      <c r="G3" s="78"/>
      <c r="H3" s="78" t="s">
        <v>4</v>
      </c>
      <c r="I3" s="78"/>
      <c r="J3" s="78"/>
      <c r="K3" s="78">
        <v>3</v>
      </c>
      <c r="L3" s="78"/>
      <c r="M3" s="78"/>
      <c r="N3" s="78">
        <v>4</v>
      </c>
      <c r="O3" s="78"/>
      <c r="P3" s="78"/>
      <c r="Q3" s="78">
        <v>5</v>
      </c>
      <c r="R3" s="78"/>
      <c r="S3" s="78"/>
      <c r="T3" s="78">
        <v>6</v>
      </c>
      <c r="U3" s="78"/>
      <c r="V3" s="78"/>
      <c r="W3" s="78">
        <v>7</v>
      </c>
      <c r="X3" s="78"/>
      <c r="Y3" s="78"/>
      <c r="Z3" s="78">
        <v>8</v>
      </c>
      <c r="AA3" s="78"/>
      <c r="AB3" s="78"/>
      <c r="AC3" s="78" t="s">
        <v>5</v>
      </c>
      <c r="AD3" s="78"/>
      <c r="AE3" s="78"/>
      <c r="AF3" s="78">
        <v>10</v>
      </c>
      <c r="AG3" s="78"/>
      <c r="AH3" s="78"/>
      <c r="AI3" s="78">
        <v>11</v>
      </c>
      <c r="AJ3" s="78"/>
      <c r="AK3" s="78"/>
      <c r="AL3" s="78">
        <v>12</v>
      </c>
      <c r="AM3" s="78"/>
      <c r="AN3" s="78"/>
      <c r="AO3" s="78">
        <v>13</v>
      </c>
      <c r="AP3" s="78"/>
      <c r="AQ3" s="78"/>
      <c r="AR3" s="78">
        <v>14</v>
      </c>
      <c r="AS3" s="78"/>
      <c r="AT3" s="78"/>
      <c r="AU3" s="78">
        <v>15</v>
      </c>
      <c r="AV3" s="78"/>
      <c r="AW3" s="78"/>
      <c r="AX3" s="78" t="s">
        <v>6</v>
      </c>
      <c r="AY3" s="78"/>
      <c r="AZ3" s="80" t="s">
        <v>7</v>
      </c>
      <c r="BA3" s="80"/>
      <c r="BB3" s="80"/>
      <c r="BC3" s="80"/>
      <c r="BD3" s="80"/>
      <c r="BE3" s="80"/>
      <c r="BF3" s="80"/>
      <c r="BG3" s="17"/>
      <c r="BH3" s="18"/>
    </row>
    <row r="4" spans="1:60" s="19" customFormat="1" ht="29.25" customHeight="1" x14ac:dyDescent="0.25">
      <c r="A4" s="20"/>
      <c r="B4" s="21"/>
      <c r="C4" s="22"/>
      <c r="D4" s="22"/>
      <c r="E4" s="23"/>
      <c r="F4" s="24" t="s">
        <v>8</v>
      </c>
      <c r="G4" s="23" t="s">
        <v>9</v>
      </c>
      <c r="H4" s="23"/>
      <c r="I4" s="24" t="s">
        <v>8</v>
      </c>
      <c r="J4" s="23" t="s">
        <v>9</v>
      </c>
      <c r="K4" s="23"/>
      <c r="L4" s="23" t="s">
        <v>8</v>
      </c>
      <c r="M4" s="23" t="s">
        <v>9</v>
      </c>
      <c r="N4" s="23"/>
      <c r="O4" s="23" t="s">
        <v>8</v>
      </c>
      <c r="P4" s="23" t="s">
        <v>9</v>
      </c>
      <c r="Q4" s="23"/>
      <c r="R4" s="23" t="s">
        <v>8</v>
      </c>
      <c r="S4" s="23" t="s">
        <v>9</v>
      </c>
      <c r="T4" s="23"/>
      <c r="U4" s="24" t="s">
        <v>8</v>
      </c>
      <c r="V4" s="23" t="s">
        <v>9</v>
      </c>
      <c r="W4" s="23"/>
      <c r="X4" s="24" t="s">
        <v>8</v>
      </c>
      <c r="Y4" s="23" t="s">
        <v>9</v>
      </c>
      <c r="Z4" s="23"/>
      <c r="AA4" s="23" t="s">
        <v>8</v>
      </c>
      <c r="AB4" s="23" t="s">
        <v>9</v>
      </c>
      <c r="AC4" s="23"/>
      <c r="AD4" s="24" t="s">
        <v>8</v>
      </c>
      <c r="AE4" s="23" t="s">
        <v>9</v>
      </c>
      <c r="AF4" s="23"/>
      <c r="AG4" s="24" t="s">
        <v>8</v>
      </c>
      <c r="AH4" s="23" t="s">
        <v>9</v>
      </c>
      <c r="AI4" s="23"/>
      <c r="AJ4" s="23" t="s">
        <v>8</v>
      </c>
      <c r="AK4" s="23" t="s">
        <v>9</v>
      </c>
      <c r="AL4" s="23"/>
      <c r="AM4" s="23" t="s">
        <v>8</v>
      </c>
      <c r="AN4" s="23" t="s">
        <v>9</v>
      </c>
      <c r="AO4" s="23"/>
      <c r="AP4" s="23" t="s">
        <v>8</v>
      </c>
      <c r="AQ4" s="23" t="s">
        <v>9</v>
      </c>
      <c r="AR4" s="23"/>
      <c r="AS4" s="23" t="s">
        <v>8</v>
      </c>
      <c r="AT4" s="23" t="s">
        <v>9</v>
      </c>
      <c r="AU4" s="23"/>
      <c r="AV4" s="23" t="s">
        <v>8</v>
      </c>
      <c r="AW4" s="23" t="s">
        <v>9</v>
      </c>
      <c r="AX4" s="23"/>
      <c r="AY4" s="23" t="s">
        <v>8</v>
      </c>
      <c r="AZ4" s="25" t="s">
        <v>10</v>
      </c>
      <c r="BA4" s="26" t="s">
        <v>11</v>
      </c>
      <c r="BB4" s="26" t="s">
        <v>8</v>
      </c>
      <c r="BC4" s="26" t="s">
        <v>12</v>
      </c>
      <c r="BD4" s="27" t="s">
        <v>13</v>
      </c>
      <c r="BE4" s="25" t="s">
        <v>14</v>
      </c>
      <c r="BF4" s="28" t="s">
        <v>13</v>
      </c>
      <c r="BG4" s="17" t="s">
        <v>15</v>
      </c>
      <c r="BH4" s="18"/>
    </row>
    <row r="5" spans="1:60" ht="15" customHeight="1" thickBot="1" x14ac:dyDescent="0.25">
      <c r="A5" s="29">
        <v>1</v>
      </c>
      <c r="B5" s="30" t="s">
        <v>16</v>
      </c>
      <c r="C5" s="31" t="s">
        <v>17</v>
      </c>
      <c r="D5" s="31" t="s">
        <v>71</v>
      </c>
      <c r="E5" s="32" t="s">
        <v>18</v>
      </c>
      <c r="F5" s="33">
        <v>2</v>
      </c>
      <c r="G5" s="32" t="s">
        <v>19</v>
      </c>
      <c r="H5" s="32" t="s">
        <v>18</v>
      </c>
      <c r="I5" s="33">
        <v>3</v>
      </c>
      <c r="J5" s="32" t="s">
        <v>19</v>
      </c>
      <c r="K5" s="32" t="s">
        <v>18</v>
      </c>
      <c r="L5" s="33">
        <v>3</v>
      </c>
      <c r="M5" s="32" t="s">
        <v>19</v>
      </c>
      <c r="N5" s="33" t="s">
        <v>18</v>
      </c>
      <c r="O5" s="34">
        <v>1</v>
      </c>
      <c r="P5" s="32"/>
      <c r="Q5" s="33" t="s">
        <v>18</v>
      </c>
      <c r="R5" s="34">
        <v>3</v>
      </c>
      <c r="S5" s="32"/>
      <c r="T5" s="34" t="s">
        <v>18</v>
      </c>
      <c r="U5" s="34">
        <v>3</v>
      </c>
      <c r="V5" s="32" t="s">
        <v>20</v>
      </c>
      <c r="W5" s="34" t="s">
        <v>18</v>
      </c>
      <c r="X5" s="34"/>
      <c r="Y5" s="32"/>
      <c r="Z5" s="34" t="s">
        <v>18</v>
      </c>
      <c r="AA5" s="34"/>
      <c r="AB5" s="32"/>
      <c r="AC5" s="34" t="s">
        <v>18</v>
      </c>
      <c r="AD5" s="34"/>
      <c r="AE5" s="32"/>
      <c r="AF5" s="34" t="s">
        <v>18</v>
      </c>
      <c r="AG5" s="34"/>
      <c r="AH5" s="32"/>
      <c r="AI5" s="34" t="s">
        <v>18</v>
      </c>
      <c r="AJ5" s="34">
        <v>3</v>
      </c>
      <c r="AK5" s="32"/>
      <c r="AL5" s="34" t="s">
        <v>18</v>
      </c>
      <c r="AM5" s="35">
        <v>1</v>
      </c>
      <c r="AN5" s="32"/>
      <c r="AO5" s="34" t="s">
        <v>18</v>
      </c>
      <c r="AP5" s="34">
        <v>2</v>
      </c>
      <c r="AQ5" s="32"/>
      <c r="AR5" s="33" t="s">
        <v>18</v>
      </c>
      <c r="AS5" s="33"/>
      <c r="AT5" s="32"/>
      <c r="AU5" s="33" t="s">
        <v>18</v>
      </c>
      <c r="AV5" s="33"/>
      <c r="AW5" s="32"/>
      <c r="AX5" s="33" t="s">
        <v>18</v>
      </c>
      <c r="AY5" s="33">
        <v>1</v>
      </c>
      <c r="AZ5" s="37">
        <f t="shared" ref="AZ5:AZ23" si="0">COUNTIF(C5:AY5,"h")</f>
        <v>0</v>
      </c>
      <c r="BA5" s="37">
        <f t="shared" ref="BA5:BA23" si="1">COUNTIF(E5:AY5,"P")</f>
        <v>16</v>
      </c>
      <c r="BB5" s="37">
        <f t="shared" ref="BB5:BB23" si="2">SUM(E5:AY5)</f>
        <v>22</v>
      </c>
      <c r="BC5" s="37">
        <v>900</v>
      </c>
      <c r="BD5" s="37">
        <f t="shared" ref="BD5:BD22" si="3">(BA5)*BC5</f>
        <v>14400</v>
      </c>
      <c r="BE5" s="37">
        <f t="shared" ref="BE5:BE22" si="4">(BC5/8*BB5)</f>
        <v>2475</v>
      </c>
      <c r="BF5" s="37">
        <f>BD5+BE5</f>
        <v>16875</v>
      </c>
      <c r="BG5" s="38"/>
      <c r="BH5" s="13" t="s">
        <v>22</v>
      </c>
    </row>
    <row r="6" spans="1:60" s="43" customFormat="1" ht="15" customHeight="1" thickBot="1" x14ac:dyDescent="0.25">
      <c r="A6" s="29">
        <v>2</v>
      </c>
      <c r="B6" s="30" t="s">
        <v>23</v>
      </c>
      <c r="C6" s="39" t="s">
        <v>24</v>
      </c>
      <c r="D6" s="31" t="s">
        <v>71</v>
      </c>
      <c r="E6" s="32" t="s">
        <v>18</v>
      </c>
      <c r="F6" s="33">
        <v>2</v>
      </c>
      <c r="G6" s="32" t="s">
        <v>19</v>
      </c>
      <c r="H6" s="32" t="s">
        <v>18</v>
      </c>
      <c r="I6" s="33">
        <v>2</v>
      </c>
      <c r="J6" s="32" t="s">
        <v>19</v>
      </c>
      <c r="K6" s="34" t="s">
        <v>18</v>
      </c>
      <c r="L6" s="34">
        <v>3</v>
      </c>
      <c r="M6" s="40" t="s">
        <v>21</v>
      </c>
      <c r="N6" s="34" t="s">
        <v>18</v>
      </c>
      <c r="O6" s="34">
        <v>2</v>
      </c>
      <c r="P6" s="32" t="s">
        <v>21</v>
      </c>
      <c r="Q6" s="34" t="s">
        <v>18</v>
      </c>
      <c r="R6" s="34">
        <v>3</v>
      </c>
      <c r="S6" s="32" t="s">
        <v>25</v>
      </c>
      <c r="T6" s="34" t="s">
        <v>18</v>
      </c>
      <c r="U6" s="34">
        <v>3</v>
      </c>
      <c r="V6" s="32"/>
      <c r="W6" s="34" t="s">
        <v>18</v>
      </c>
      <c r="X6" s="34"/>
      <c r="Y6" s="34"/>
      <c r="Z6" s="34" t="s">
        <v>18</v>
      </c>
      <c r="AA6" s="34">
        <v>2</v>
      </c>
      <c r="AB6" s="34"/>
      <c r="AC6" s="34" t="s">
        <v>18</v>
      </c>
      <c r="AD6" s="34">
        <v>2</v>
      </c>
      <c r="AE6" s="34"/>
      <c r="AF6" s="34" t="s">
        <v>18</v>
      </c>
      <c r="AG6" s="34">
        <v>2</v>
      </c>
      <c r="AH6" s="32"/>
      <c r="AI6" s="34" t="s">
        <v>18</v>
      </c>
      <c r="AJ6" s="34">
        <v>3</v>
      </c>
      <c r="AK6" s="32"/>
      <c r="AL6" s="34" t="s">
        <v>26</v>
      </c>
      <c r="AM6" s="33"/>
      <c r="AN6" s="32" t="s">
        <v>27</v>
      </c>
      <c r="AO6" s="34" t="s">
        <v>18</v>
      </c>
      <c r="AP6" s="33"/>
      <c r="AQ6" s="32"/>
      <c r="AR6" s="34" t="s">
        <v>18</v>
      </c>
      <c r="AS6" s="34"/>
      <c r="AT6" s="32"/>
      <c r="AU6" s="34" t="s">
        <v>18</v>
      </c>
      <c r="AV6" s="34"/>
      <c r="AW6" s="32"/>
      <c r="AX6" s="34" t="s">
        <v>18</v>
      </c>
      <c r="AY6" s="34">
        <v>3</v>
      </c>
      <c r="AZ6" s="37">
        <f t="shared" si="0"/>
        <v>0</v>
      </c>
      <c r="BA6" s="37">
        <f t="shared" si="1"/>
        <v>16</v>
      </c>
      <c r="BB6" s="37">
        <f t="shared" si="2"/>
        <v>27</v>
      </c>
      <c r="BC6" s="42">
        <v>700</v>
      </c>
      <c r="BD6" s="37">
        <f t="shared" si="3"/>
        <v>11200</v>
      </c>
      <c r="BE6" s="37">
        <f t="shared" si="4"/>
        <v>2362.5</v>
      </c>
      <c r="BF6" s="37">
        <f t="shared" ref="BF6:BF22" si="5">BD6+BE6</f>
        <v>13562.5</v>
      </c>
      <c r="BG6" s="17"/>
      <c r="BH6" s="18" t="s">
        <v>22</v>
      </c>
    </row>
    <row r="7" spans="1:60" s="43" customFormat="1" ht="15" customHeight="1" thickBot="1" x14ac:dyDescent="0.25">
      <c r="A7" s="29">
        <v>3</v>
      </c>
      <c r="B7" s="30" t="s">
        <v>30</v>
      </c>
      <c r="C7" s="39" t="s">
        <v>31</v>
      </c>
      <c r="D7" s="31" t="s">
        <v>71</v>
      </c>
      <c r="E7" s="32" t="s">
        <v>18</v>
      </c>
      <c r="F7" s="33">
        <v>1</v>
      </c>
      <c r="G7" s="32" t="s">
        <v>19</v>
      </c>
      <c r="H7" s="32" t="s">
        <v>18</v>
      </c>
      <c r="I7" s="33">
        <v>1</v>
      </c>
      <c r="J7" s="32" t="s">
        <v>32</v>
      </c>
      <c r="K7" s="32" t="s">
        <v>18</v>
      </c>
      <c r="L7" s="33"/>
      <c r="M7" s="32" t="s">
        <v>19</v>
      </c>
      <c r="N7" s="34" t="s">
        <v>29</v>
      </c>
      <c r="O7" s="34"/>
      <c r="P7" s="32"/>
      <c r="Q7" s="34" t="s">
        <v>18</v>
      </c>
      <c r="R7" s="34"/>
      <c r="S7" s="32"/>
      <c r="T7" s="34" t="s">
        <v>18</v>
      </c>
      <c r="U7" s="34"/>
      <c r="V7" s="32"/>
      <c r="W7" s="34" t="s">
        <v>18</v>
      </c>
      <c r="X7" s="34"/>
      <c r="Y7" s="32"/>
      <c r="Z7" s="34" t="s">
        <v>18</v>
      </c>
      <c r="AA7" s="34">
        <v>1</v>
      </c>
      <c r="AB7" s="32"/>
      <c r="AC7" s="34" t="s">
        <v>18</v>
      </c>
      <c r="AD7" s="34"/>
      <c r="AE7" s="32"/>
      <c r="AF7" s="34" t="s">
        <v>18</v>
      </c>
      <c r="AG7" s="34">
        <v>5</v>
      </c>
      <c r="AH7" s="32"/>
      <c r="AI7" s="34" t="s">
        <v>18</v>
      </c>
      <c r="AJ7" s="34">
        <v>3</v>
      </c>
      <c r="AK7" s="32"/>
      <c r="AL7" s="34" t="s">
        <v>29</v>
      </c>
      <c r="AM7" s="35"/>
      <c r="AN7" s="32"/>
      <c r="AO7" s="34" t="s">
        <v>18</v>
      </c>
      <c r="AP7" s="34"/>
      <c r="AQ7" s="32"/>
      <c r="AR7" s="33" t="s">
        <v>18</v>
      </c>
      <c r="AS7" s="33"/>
      <c r="AT7" s="32"/>
      <c r="AU7" s="33" t="s">
        <v>18</v>
      </c>
      <c r="AV7" s="33"/>
      <c r="AW7" s="32"/>
      <c r="AX7" s="33" t="s">
        <v>18</v>
      </c>
      <c r="AY7" s="33"/>
      <c r="AZ7" s="37">
        <f t="shared" si="0"/>
        <v>0</v>
      </c>
      <c r="BA7" s="37">
        <f t="shared" si="1"/>
        <v>14</v>
      </c>
      <c r="BB7" s="44">
        <f t="shared" si="2"/>
        <v>11</v>
      </c>
      <c r="BC7" s="42">
        <v>600</v>
      </c>
      <c r="BD7" s="37">
        <f t="shared" si="3"/>
        <v>8400</v>
      </c>
      <c r="BE7" s="37">
        <f t="shared" si="4"/>
        <v>825</v>
      </c>
      <c r="BF7" s="37">
        <f t="shared" si="5"/>
        <v>9225</v>
      </c>
      <c r="BG7" s="45"/>
      <c r="BH7" s="18" t="s">
        <v>22</v>
      </c>
    </row>
    <row r="8" spans="1:60" s="43" customFormat="1" ht="15" customHeight="1" thickBot="1" x14ac:dyDescent="0.25">
      <c r="A8" s="29">
        <v>4</v>
      </c>
      <c r="B8" s="30" t="s">
        <v>34</v>
      </c>
      <c r="C8" s="39" t="s">
        <v>24</v>
      </c>
      <c r="D8" s="31" t="s">
        <v>71</v>
      </c>
      <c r="E8" s="32" t="s">
        <v>18</v>
      </c>
      <c r="F8" s="33">
        <v>2</v>
      </c>
      <c r="G8" s="32" t="s">
        <v>19</v>
      </c>
      <c r="H8" s="32" t="s">
        <v>18</v>
      </c>
      <c r="I8" s="33">
        <v>3</v>
      </c>
      <c r="J8" s="32" t="s">
        <v>19</v>
      </c>
      <c r="K8" s="32" t="s">
        <v>18</v>
      </c>
      <c r="L8" s="33">
        <v>3</v>
      </c>
      <c r="M8" s="32" t="s">
        <v>19</v>
      </c>
      <c r="N8" s="34" t="s">
        <v>18</v>
      </c>
      <c r="O8" s="34">
        <v>1</v>
      </c>
      <c r="P8" s="32"/>
      <c r="Q8" s="34" t="s">
        <v>18</v>
      </c>
      <c r="R8" s="34">
        <v>3</v>
      </c>
      <c r="S8" s="32"/>
      <c r="T8" s="34" t="s">
        <v>18</v>
      </c>
      <c r="U8" s="34">
        <v>3</v>
      </c>
      <c r="V8" s="32"/>
      <c r="W8" s="34" t="s">
        <v>18</v>
      </c>
      <c r="X8" s="34">
        <v>1</v>
      </c>
      <c r="Y8" s="32" t="s">
        <v>25</v>
      </c>
      <c r="Z8" s="34" t="s">
        <v>18</v>
      </c>
      <c r="AA8" s="34"/>
      <c r="AB8" s="32"/>
      <c r="AC8" s="34" t="s">
        <v>18</v>
      </c>
      <c r="AD8" s="34"/>
      <c r="AE8" s="32"/>
      <c r="AF8" s="34" t="s">
        <v>18</v>
      </c>
      <c r="AG8" s="34"/>
      <c r="AH8" s="32"/>
      <c r="AI8" s="34" t="s">
        <v>18</v>
      </c>
      <c r="AJ8" s="34">
        <v>3</v>
      </c>
      <c r="AK8" s="32"/>
      <c r="AL8" s="34" t="s">
        <v>18</v>
      </c>
      <c r="AM8" s="35">
        <v>1</v>
      </c>
      <c r="AN8" s="32"/>
      <c r="AO8" s="34" t="s">
        <v>18</v>
      </c>
      <c r="AP8" s="34">
        <v>2</v>
      </c>
      <c r="AQ8" s="32"/>
      <c r="AR8" s="33" t="s">
        <v>18</v>
      </c>
      <c r="AS8" s="33"/>
      <c r="AT8" s="32"/>
      <c r="AU8" s="33" t="s">
        <v>18</v>
      </c>
      <c r="AV8" s="33"/>
      <c r="AW8" s="32"/>
      <c r="AX8" s="33" t="s">
        <v>18</v>
      </c>
      <c r="AY8" s="33">
        <v>1</v>
      </c>
      <c r="AZ8" s="37">
        <f t="shared" si="0"/>
        <v>0</v>
      </c>
      <c r="BA8" s="37">
        <f t="shared" si="1"/>
        <v>16</v>
      </c>
      <c r="BB8" s="37">
        <f t="shared" si="2"/>
        <v>23</v>
      </c>
      <c r="BC8" s="42">
        <v>800</v>
      </c>
      <c r="BD8" s="37">
        <f t="shared" si="3"/>
        <v>12800</v>
      </c>
      <c r="BE8" s="37">
        <f t="shared" si="4"/>
        <v>2300</v>
      </c>
      <c r="BF8" s="37">
        <f t="shared" si="5"/>
        <v>15100</v>
      </c>
      <c r="BG8" s="46"/>
      <c r="BH8" s="18" t="s">
        <v>22</v>
      </c>
    </row>
    <row r="9" spans="1:60" s="43" customFormat="1" ht="15" customHeight="1" thickBot="1" x14ac:dyDescent="0.25">
      <c r="A9" s="29">
        <v>5</v>
      </c>
      <c r="B9" s="30" t="s">
        <v>35</v>
      </c>
      <c r="C9" s="39" t="s">
        <v>24</v>
      </c>
      <c r="D9" s="31" t="s">
        <v>71</v>
      </c>
      <c r="E9" s="32" t="s">
        <v>18</v>
      </c>
      <c r="F9" s="33">
        <v>1</v>
      </c>
      <c r="G9" s="32" t="s">
        <v>19</v>
      </c>
      <c r="H9" s="32" t="s">
        <v>18</v>
      </c>
      <c r="I9" s="33">
        <v>2</v>
      </c>
      <c r="J9" s="32" t="s">
        <v>19</v>
      </c>
      <c r="K9" s="32" t="s">
        <v>18</v>
      </c>
      <c r="L9" s="33"/>
      <c r="M9" s="32" t="s">
        <v>19</v>
      </c>
      <c r="N9" s="34" t="s">
        <v>18</v>
      </c>
      <c r="O9" s="34"/>
      <c r="P9" s="32"/>
      <c r="Q9" s="34" t="s">
        <v>18</v>
      </c>
      <c r="R9" s="34"/>
      <c r="S9" s="32"/>
      <c r="T9" s="34" t="s">
        <v>18</v>
      </c>
      <c r="U9" s="34"/>
      <c r="V9" s="34"/>
      <c r="W9" s="34" t="s">
        <v>18</v>
      </c>
      <c r="X9" s="34"/>
      <c r="Y9" s="32"/>
      <c r="Z9" s="34" t="s">
        <v>18</v>
      </c>
      <c r="AA9" s="34"/>
      <c r="AB9" s="32"/>
      <c r="AC9" s="34" t="s">
        <v>18</v>
      </c>
      <c r="AD9" s="34"/>
      <c r="AE9" s="32"/>
      <c r="AF9" s="34" t="s">
        <v>29</v>
      </c>
      <c r="AG9" s="34"/>
      <c r="AH9" s="32"/>
      <c r="AI9" s="34" t="s">
        <v>26</v>
      </c>
      <c r="AJ9" s="34">
        <v>1</v>
      </c>
      <c r="AK9" s="32" t="s">
        <v>36</v>
      </c>
      <c r="AL9" s="34" t="s">
        <v>26</v>
      </c>
      <c r="AM9" s="35">
        <v>1</v>
      </c>
      <c r="AN9" s="32" t="s">
        <v>37</v>
      </c>
      <c r="AO9" s="34" t="s">
        <v>18</v>
      </c>
      <c r="AP9" s="34">
        <v>1</v>
      </c>
      <c r="AQ9" s="32" t="s">
        <v>33</v>
      </c>
      <c r="AR9" s="33" t="s">
        <v>18</v>
      </c>
      <c r="AS9" s="33"/>
      <c r="AT9" s="32"/>
      <c r="AU9" s="33" t="s">
        <v>29</v>
      </c>
      <c r="AV9" s="33"/>
      <c r="AW9" s="32"/>
      <c r="AX9" s="33" t="s">
        <v>18</v>
      </c>
      <c r="AY9" s="33">
        <v>1</v>
      </c>
      <c r="AZ9" s="37">
        <f t="shared" si="0"/>
        <v>0</v>
      </c>
      <c r="BA9" s="37">
        <f t="shared" si="1"/>
        <v>14</v>
      </c>
      <c r="BB9" s="37">
        <f t="shared" si="2"/>
        <v>7</v>
      </c>
      <c r="BC9" s="42">
        <v>700</v>
      </c>
      <c r="BD9" s="37">
        <f t="shared" si="3"/>
        <v>9800</v>
      </c>
      <c r="BE9" s="37">
        <f t="shared" si="4"/>
        <v>612.5</v>
      </c>
      <c r="BF9" s="37">
        <f t="shared" si="5"/>
        <v>10412.5</v>
      </c>
      <c r="BG9" s="45"/>
      <c r="BH9" s="18" t="s">
        <v>22</v>
      </c>
    </row>
    <row r="10" spans="1:60" s="43" customFormat="1" ht="15" customHeight="1" thickBot="1" x14ac:dyDescent="0.25">
      <c r="A10" s="29">
        <v>6</v>
      </c>
      <c r="B10" s="30" t="s">
        <v>38</v>
      </c>
      <c r="C10" s="39"/>
      <c r="D10" s="31" t="s">
        <v>71</v>
      </c>
      <c r="E10" s="32" t="s">
        <v>18</v>
      </c>
      <c r="F10" s="33">
        <v>2</v>
      </c>
      <c r="G10" s="32" t="s">
        <v>19</v>
      </c>
      <c r="H10" s="32" t="s">
        <v>18</v>
      </c>
      <c r="I10" s="33">
        <v>3</v>
      </c>
      <c r="J10" s="32" t="s">
        <v>19</v>
      </c>
      <c r="K10" s="32" t="s">
        <v>18</v>
      </c>
      <c r="L10" s="33">
        <v>3</v>
      </c>
      <c r="M10" s="32" t="s">
        <v>19</v>
      </c>
      <c r="N10" s="34" t="s">
        <v>18</v>
      </c>
      <c r="O10" s="34">
        <v>1</v>
      </c>
      <c r="P10" s="32"/>
      <c r="Q10" s="34" t="s">
        <v>18</v>
      </c>
      <c r="R10" s="34">
        <v>3</v>
      </c>
      <c r="S10" s="32"/>
      <c r="T10" s="34" t="s">
        <v>18</v>
      </c>
      <c r="U10" s="34">
        <v>3</v>
      </c>
      <c r="V10" s="32"/>
      <c r="W10" s="34" t="s">
        <v>18</v>
      </c>
      <c r="X10" s="34"/>
      <c r="Y10" s="32" t="s">
        <v>21</v>
      </c>
      <c r="Z10" s="34" t="s">
        <v>18</v>
      </c>
      <c r="AA10" s="34"/>
      <c r="AB10" s="32" t="s">
        <v>25</v>
      </c>
      <c r="AC10" s="34" t="s">
        <v>18</v>
      </c>
      <c r="AD10" s="34"/>
      <c r="AE10" s="32"/>
      <c r="AF10" s="34" t="s">
        <v>18</v>
      </c>
      <c r="AG10" s="34"/>
      <c r="AH10" s="32"/>
      <c r="AI10" s="34" t="s">
        <v>18</v>
      </c>
      <c r="AJ10" s="34">
        <v>3</v>
      </c>
      <c r="AK10" s="32"/>
      <c r="AL10" s="34" t="s">
        <v>18</v>
      </c>
      <c r="AM10" s="35">
        <v>1</v>
      </c>
      <c r="AN10" s="32"/>
      <c r="AO10" s="34" t="s">
        <v>18</v>
      </c>
      <c r="AP10" s="34">
        <v>2</v>
      </c>
      <c r="AQ10" s="32"/>
      <c r="AR10" s="33" t="s">
        <v>18</v>
      </c>
      <c r="AS10" s="33"/>
      <c r="AT10" s="32"/>
      <c r="AU10" s="33" t="s">
        <v>18</v>
      </c>
      <c r="AV10" s="33"/>
      <c r="AW10" s="32"/>
      <c r="AX10" s="33" t="s">
        <v>18</v>
      </c>
      <c r="AY10" s="33">
        <v>1</v>
      </c>
      <c r="AZ10" s="47">
        <f t="shared" si="0"/>
        <v>0</v>
      </c>
      <c r="BA10" s="47">
        <f t="shared" si="1"/>
        <v>16</v>
      </c>
      <c r="BB10" s="47">
        <f t="shared" si="2"/>
        <v>22</v>
      </c>
      <c r="BC10" s="48">
        <v>700</v>
      </c>
      <c r="BD10" s="47">
        <f t="shared" si="3"/>
        <v>11200</v>
      </c>
      <c r="BE10" s="47">
        <f t="shared" si="4"/>
        <v>1925</v>
      </c>
      <c r="BF10" s="47">
        <f t="shared" si="5"/>
        <v>13125</v>
      </c>
      <c r="BG10" s="45"/>
      <c r="BH10" s="18" t="s">
        <v>22</v>
      </c>
    </row>
    <row r="11" spans="1:60" s="43" customFormat="1" ht="15" customHeight="1" thickBot="1" x14ac:dyDescent="0.25">
      <c r="A11" s="29">
        <v>7</v>
      </c>
      <c r="B11" s="30" t="s">
        <v>40</v>
      </c>
      <c r="C11" s="39" t="s">
        <v>24</v>
      </c>
      <c r="D11" s="31" t="s">
        <v>71</v>
      </c>
      <c r="E11" s="32" t="s">
        <v>18</v>
      </c>
      <c r="F11" s="33">
        <v>2</v>
      </c>
      <c r="G11" s="32" t="s">
        <v>19</v>
      </c>
      <c r="H11" s="32" t="s">
        <v>18</v>
      </c>
      <c r="I11" s="33">
        <v>2</v>
      </c>
      <c r="J11" s="32" t="s">
        <v>19</v>
      </c>
      <c r="K11" s="32" t="s">
        <v>18</v>
      </c>
      <c r="L11" s="33">
        <v>3</v>
      </c>
      <c r="M11" s="32" t="s">
        <v>19</v>
      </c>
      <c r="N11" s="32" t="s">
        <v>18</v>
      </c>
      <c r="O11" s="33">
        <v>2</v>
      </c>
      <c r="P11" s="32"/>
      <c r="Q11" s="34" t="s">
        <v>29</v>
      </c>
      <c r="R11" s="34"/>
      <c r="S11" s="32"/>
      <c r="T11" s="34" t="s">
        <v>18</v>
      </c>
      <c r="U11" s="34">
        <v>1</v>
      </c>
      <c r="V11" s="32"/>
      <c r="W11" s="34" t="s">
        <v>18</v>
      </c>
      <c r="X11" s="34"/>
      <c r="Y11" s="32"/>
      <c r="Z11" s="34" t="s">
        <v>18</v>
      </c>
      <c r="AA11" s="34">
        <v>2</v>
      </c>
      <c r="AB11" s="32"/>
      <c r="AC11" s="34" t="s">
        <v>18</v>
      </c>
      <c r="AD11" s="34"/>
      <c r="AE11" s="32"/>
      <c r="AF11" s="34" t="s">
        <v>18</v>
      </c>
      <c r="AG11" s="34">
        <v>1</v>
      </c>
      <c r="AH11" s="32"/>
      <c r="AI11" s="34" t="s">
        <v>18</v>
      </c>
      <c r="AJ11" s="34">
        <v>1</v>
      </c>
      <c r="AK11" s="32"/>
      <c r="AL11" s="34" t="s">
        <v>26</v>
      </c>
      <c r="AM11" s="35">
        <v>1</v>
      </c>
      <c r="AN11" s="32" t="s">
        <v>37</v>
      </c>
      <c r="AO11" s="34" t="s">
        <v>18</v>
      </c>
      <c r="AP11" s="34">
        <v>2</v>
      </c>
      <c r="AQ11" s="32"/>
      <c r="AR11" s="33" t="s">
        <v>18</v>
      </c>
      <c r="AS11" s="33">
        <v>2</v>
      </c>
      <c r="AT11" s="32"/>
      <c r="AU11" s="33" t="s">
        <v>29</v>
      </c>
      <c r="AV11" s="33"/>
      <c r="AW11" s="32"/>
      <c r="AX11" s="33" t="s">
        <v>18</v>
      </c>
      <c r="AY11" s="33">
        <v>1</v>
      </c>
      <c r="AZ11" s="47">
        <f t="shared" si="0"/>
        <v>0</v>
      </c>
      <c r="BA11" s="47">
        <f t="shared" si="1"/>
        <v>14</v>
      </c>
      <c r="BB11" s="47">
        <f t="shared" si="2"/>
        <v>20</v>
      </c>
      <c r="BC11" s="48">
        <v>850</v>
      </c>
      <c r="BD11" s="47">
        <f t="shared" si="3"/>
        <v>11900</v>
      </c>
      <c r="BE11" s="47">
        <f>(BC11/8*BB11)+850</f>
        <v>2975</v>
      </c>
      <c r="BF11" s="47">
        <f t="shared" si="5"/>
        <v>14875</v>
      </c>
      <c r="BG11" s="45"/>
      <c r="BH11" s="18" t="s">
        <v>22</v>
      </c>
    </row>
    <row r="12" spans="1:60" s="43" customFormat="1" ht="15" customHeight="1" thickBot="1" x14ac:dyDescent="0.25">
      <c r="A12" s="29">
        <v>8</v>
      </c>
      <c r="B12" s="30" t="s">
        <v>41</v>
      </c>
      <c r="C12" s="39"/>
      <c r="D12" s="31" t="s">
        <v>71</v>
      </c>
      <c r="E12" s="32" t="s">
        <v>18</v>
      </c>
      <c r="F12" s="33">
        <v>2</v>
      </c>
      <c r="G12" s="32" t="s">
        <v>19</v>
      </c>
      <c r="H12" s="32" t="s">
        <v>18</v>
      </c>
      <c r="I12" s="33">
        <v>3</v>
      </c>
      <c r="J12" s="32" t="s">
        <v>19</v>
      </c>
      <c r="K12" s="32" t="s">
        <v>18</v>
      </c>
      <c r="L12" s="33">
        <v>3</v>
      </c>
      <c r="M12" s="32" t="s">
        <v>19</v>
      </c>
      <c r="N12" s="32" t="s">
        <v>26</v>
      </c>
      <c r="O12" s="33">
        <v>1</v>
      </c>
      <c r="P12" s="32"/>
      <c r="Q12" s="34" t="s">
        <v>26</v>
      </c>
      <c r="R12" s="34">
        <v>3</v>
      </c>
      <c r="S12" s="32"/>
      <c r="T12" s="34" t="s">
        <v>26</v>
      </c>
      <c r="U12" s="34">
        <v>3</v>
      </c>
      <c r="V12" s="32"/>
      <c r="W12" s="34" t="s">
        <v>18</v>
      </c>
      <c r="X12" s="34">
        <v>1</v>
      </c>
      <c r="Y12" s="32" t="s">
        <v>21</v>
      </c>
      <c r="Z12" s="34" t="s">
        <v>26</v>
      </c>
      <c r="AA12" s="34"/>
      <c r="AB12" s="32"/>
      <c r="AC12" s="34" t="s">
        <v>26</v>
      </c>
      <c r="AD12" s="34"/>
      <c r="AE12" s="32"/>
      <c r="AF12" s="34" t="s">
        <v>26</v>
      </c>
      <c r="AG12" s="34"/>
      <c r="AH12" s="32"/>
      <c r="AI12" s="34" t="s">
        <v>26</v>
      </c>
      <c r="AJ12" s="34">
        <v>3</v>
      </c>
      <c r="AK12" s="32"/>
      <c r="AL12" s="34" t="s">
        <v>26</v>
      </c>
      <c r="AM12" s="35">
        <v>1</v>
      </c>
      <c r="AN12" s="32"/>
      <c r="AO12" s="34" t="s">
        <v>26</v>
      </c>
      <c r="AP12" s="34">
        <v>2</v>
      </c>
      <c r="AQ12" s="32"/>
      <c r="AR12" s="33" t="s">
        <v>26</v>
      </c>
      <c r="AS12" s="33"/>
      <c r="AT12" s="32"/>
      <c r="AU12" s="33" t="s">
        <v>26</v>
      </c>
      <c r="AV12" s="33"/>
      <c r="AW12" s="32"/>
      <c r="AX12" s="33" t="s">
        <v>26</v>
      </c>
      <c r="AY12" s="33">
        <v>1</v>
      </c>
      <c r="AZ12" s="47">
        <f t="shared" si="0"/>
        <v>0</v>
      </c>
      <c r="BA12" s="47">
        <f t="shared" si="1"/>
        <v>16</v>
      </c>
      <c r="BB12" s="47">
        <f t="shared" si="2"/>
        <v>23</v>
      </c>
      <c r="BC12" s="48">
        <v>700</v>
      </c>
      <c r="BD12" s="47">
        <f t="shared" si="3"/>
        <v>11200</v>
      </c>
      <c r="BE12" s="47">
        <f t="shared" si="4"/>
        <v>2012.5</v>
      </c>
      <c r="BF12" s="47">
        <f t="shared" si="5"/>
        <v>13212.5</v>
      </c>
      <c r="BG12" s="45"/>
      <c r="BH12" s="18" t="s">
        <v>42</v>
      </c>
    </row>
    <row r="13" spans="1:60" s="43" customFormat="1" ht="15" customHeight="1" thickBot="1" x14ac:dyDescent="0.25">
      <c r="A13" s="29">
        <v>9</v>
      </c>
      <c r="B13" s="30" t="s">
        <v>43</v>
      </c>
      <c r="C13" s="39" t="s">
        <v>44</v>
      </c>
      <c r="D13" s="31" t="s">
        <v>71</v>
      </c>
      <c r="E13" s="32" t="s">
        <v>18</v>
      </c>
      <c r="F13" s="33">
        <v>2</v>
      </c>
      <c r="G13" s="32" t="s">
        <v>19</v>
      </c>
      <c r="H13" s="32" t="s">
        <v>18</v>
      </c>
      <c r="I13" s="33">
        <v>1</v>
      </c>
      <c r="J13" s="32" t="s">
        <v>19</v>
      </c>
      <c r="K13" s="32" t="s">
        <v>18</v>
      </c>
      <c r="L13" s="33"/>
      <c r="M13" s="32" t="s">
        <v>21</v>
      </c>
      <c r="N13" s="32" t="s">
        <v>18</v>
      </c>
      <c r="O13" s="33">
        <v>1</v>
      </c>
      <c r="P13" s="32" t="s">
        <v>20</v>
      </c>
      <c r="Q13" s="34" t="s">
        <v>18</v>
      </c>
      <c r="R13" s="34"/>
      <c r="S13" s="32" t="s">
        <v>25</v>
      </c>
      <c r="T13" s="34" t="s">
        <v>18</v>
      </c>
      <c r="U13" s="34"/>
      <c r="V13" s="32" t="s">
        <v>20</v>
      </c>
      <c r="W13" s="34" t="s">
        <v>18</v>
      </c>
      <c r="X13" s="34"/>
      <c r="Y13" s="32"/>
      <c r="Z13" s="34" t="s">
        <v>18</v>
      </c>
      <c r="AA13" s="34"/>
      <c r="AB13" s="32"/>
      <c r="AC13" s="34" t="s">
        <v>18</v>
      </c>
      <c r="AD13" s="34">
        <v>1</v>
      </c>
      <c r="AE13" s="32"/>
      <c r="AF13" s="34" t="s">
        <v>18</v>
      </c>
      <c r="AG13" s="34">
        <v>3</v>
      </c>
      <c r="AH13" s="32"/>
      <c r="AI13" s="34" t="s">
        <v>18</v>
      </c>
      <c r="AJ13" s="34">
        <v>3</v>
      </c>
      <c r="AK13" s="32"/>
      <c r="AL13" s="34" t="s">
        <v>26</v>
      </c>
      <c r="AM13" s="35">
        <v>1</v>
      </c>
      <c r="AN13" s="32" t="s">
        <v>37</v>
      </c>
      <c r="AO13" s="34" t="s">
        <v>18</v>
      </c>
      <c r="AP13" s="34">
        <v>2</v>
      </c>
      <c r="AQ13" s="32"/>
      <c r="AR13" s="33" t="s">
        <v>18</v>
      </c>
      <c r="AS13" s="33"/>
      <c r="AT13" s="32"/>
      <c r="AU13" s="33" t="s">
        <v>18</v>
      </c>
      <c r="AV13" s="33"/>
      <c r="AW13" s="32"/>
      <c r="AX13" s="33" t="s">
        <v>18</v>
      </c>
      <c r="AY13" s="33">
        <v>1</v>
      </c>
      <c r="AZ13" s="47">
        <f t="shared" si="0"/>
        <v>0</v>
      </c>
      <c r="BA13" s="47">
        <f t="shared" si="1"/>
        <v>16</v>
      </c>
      <c r="BB13" s="47">
        <f t="shared" si="2"/>
        <v>15</v>
      </c>
      <c r="BC13" s="48">
        <v>600</v>
      </c>
      <c r="BD13" s="47">
        <f t="shared" si="3"/>
        <v>9600</v>
      </c>
      <c r="BE13" s="47">
        <f t="shared" si="4"/>
        <v>1125</v>
      </c>
      <c r="BF13" s="47">
        <f t="shared" si="5"/>
        <v>10725</v>
      </c>
      <c r="BG13" s="45"/>
      <c r="BH13" s="18" t="s">
        <v>22</v>
      </c>
    </row>
    <row r="14" spans="1:60" s="43" customFormat="1" ht="15" customHeight="1" thickBot="1" x14ac:dyDescent="0.25">
      <c r="A14" s="29">
        <v>10</v>
      </c>
      <c r="B14" s="30" t="s">
        <v>45</v>
      </c>
      <c r="C14" s="39"/>
      <c r="D14" s="31" t="s">
        <v>71</v>
      </c>
      <c r="E14" s="32" t="s">
        <v>18</v>
      </c>
      <c r="F14" s="33">
        <v>3</v>
      </c>
      <c r="G14" s="32" t="s">
        <v>21</v>
      </c>
      <c r="H14" s="32" t="s">
        <v>18</v>
      </c>
      <c r="I14" s="33">
        <v>1</v>
      </c>
      <c r="J14" s="32" t="s">
        <v>20</v>
      </c>
      <c r="K14" s="32" t="s">
        <v>18</v>
      </c>
      <c r="L14" s="33">
        <v>4</v>
      </c>
      <c r="M14" s="32" t="s">
        <v>19</v>
      </c>
      <c r="N14" s="32" t="s">
        <v>18</v>
      </c>
      <c r="O14" s="33">
        <v>2</v>
      </c>
      <c r="P14" s="32" t="s">
        <v>46</v>
      </c>
      <c r="Q14" s="34" t="s">
        <v>18</v>
      </c>
      <c r="R14" s="34">
        <v>2</v>
      </c>
      <c r="S14" s="32" t="s">
        <v>25</v>
      </c>
      <c r="T14" s="34" t="s">
        <v>18</v>
      </c>
      <c r="U14" s="34">
        <v>3</v>
      </c>
      <c r="V14" s="32" t="s">
        <v>20</v>
      </c>
      <c r="W14" s="34" t="s">
        <v>18</v>
      </c>
      <c r="X14" s="34">
        <v>1</v>
      </c>
      <c r="Y14" s="32" t="s">
        <v>47</v>
      </c>
      <c r="Z14" s="34" t="s">
        <v>18</v>
      </c>
      <c r="AA14" s="34">
        <v>1</v>
      </c>
      <c r="AB14" s="32" t="s">
        <v>25</v>
      </c>
      <c r="AC14" s="36" t="s">
        <v>18</v>
      </c>
      <c r="AD14" s="36">
        <v>1</v>
      </c>
      <c r="AE14" s="41" t="s">
        <v>48</v>
      </c>
      <c r="AF14" s="34" t="s">
        <v>26</v>
      </c>
      <c r="AG14" s="34">
        <v>1</v>
      </c>
      <c r="AH14" s="32" t="s">
        <v>49</v>
      </c>
      <c r="AI14" s="34" t="s">
        <v>26</v>
      </c>
      <c r="AJ14" s="34">
        <v>1</v>
      </c>
      <c r="AK14" s="32" t="s">
        <v>50</v>
      </c>
      <c r="AL14" s="34" t="s">
        <v>18</v>
      </c>
      <c r="AM14" s="35">
        <v>1</v>
      </c>
      <c r="AN14" s="32"/>
      <c r="AO14" s="34" t="s">
        <v>18</v>
      </c>
      <c r="AP14" s="34">
        <v>1</v>
      </c>
      <c r="AQ14" s="32" t="s">
        <v>51</v>
      </c>
      <c r="AR14" s="33" t="s">
        <v>18</v>
      </c>
      <c r="AS14" s="33">
        <v>1</v>
      </c>
      <c r="AT14" s="32" t="s">
        <v>25</v>
      </c>
      <c r="AU14" s="33" t="s">
        <v>18</v>
      </c>
      <c r="AV14" s="33">
        <v>1</v>
      </c>
      <c r="AW14" s="32" t="s">
        <v>25</v>
      </c>
      <c r="AX14" s="33" t="s">
        <v>18</v>
      </c>
      <c r="AY14" s="33">
        <v>1</v>
      </c>
      <c r="AZ14" s="47">
        <f t="shared" si="0"/>
        <v>0</v>
      </c>
      <c r="BA14" s="47">
        <f t="shared" si="1"/>
        <v>16</v>
      </c>
      <c r="BB14" s="47">
        <f t="shared" si="2"/>
        <v>25</v>
      </c>
      <c r="BC14" s="48">
        <v>700</v>
      </c>
      <c r="BD14" s="47">
        <f t="shared" si="3"/>
        <v>11200</v>
      </c>
      <c r="BE14" s="47">
        <f t="shared" si="4"/>
        <v>2187.5</v>
      </c>
      <c r="BF14" s="47">
        <f t="shared" si="5"/>
        <v>13387.5</v>
      </c>
      <c r="BG14" s="45"/>
      <c r="BH14" s="18" t="s">
        <v>22</v>
      </c>
    </row>
    <row r="15" spans="1:60" s="43" customFormat="1" ht="15" customHeight="1" thickBot="1" x14ac:dyDescent="0.25">
      <c r="A15" s="29">
        <v>11</v>
      </c>
      <c r="B15" s="30" t="s">
        <v>52</v>
      </c>
      <c r="C15" s="39"/>
      <c r="D15" s="31" t="s">
        <v>71</v>
      </c>
      <c r="E15" s="32" t="s">
        <v>18</v>
      </c>
      <c r="F15" s="33"/>
      <c r="G15" s="32" t="s">
        <v>19</v>
      </c>
      <c r="H15" s="32" t="s">
        <v>18</v>
      </c>
      <c r="I15" s="33">
        <v>1</v>
      </c>
      <c r="J15" s="32" t="s">
        <v>19</v>
      </c>
      <c r="K15" s="32" t="s">
        <v>18</v>
      </c>
      <c r="L15" s="33">
        <v>3</v>
      </c>
      <c r="M15" s="32" t="s">
        <v>19</v>
      </c>
      <c r="N15" s="32" t="s">
        <v>18</v>
      </c>
      <c r="O15" s="33">
        <v>2</v>
      </c>
      <c r="P15" s="32"/>
      <c r="Q15" s="34" t="s">
        <v>18</v>
      </c>
      <c r="R15" s="34"/>
      <c r="S15" s="32"/>
      <c r="T15" s="34" t="s">
        <v>18</v>
      </c>
      <c r="U15" s="34">
        <v>1</v>
      </c>
      <c r="V15" s="32"/>
      <c r="W15" s="34" t="s">
        <v>18</v>
      </c>
      <c r="X15" s="34"/>
      <c r="Y15" s="32"/>
      <c r="Z15" s="34" t="s">
        <v>18</v>
      </c>
      <c r="AA15" s="34">
        <v>2</v>
      </c>
      <c r="AB15" s="32"/>
      <c r="AC15" s="34" t="s">
        <v>18</v>
      </c>
      <c r="AD15" s="34"/>
      <c r="AE15" s="32"/>
      <c r="AF15" s="34" t="s">
        <v>29</v>
      </c>
      <c r="AG15" s="34"/>
      <c r="AH15" s="32"/>
      <c r="AI15" s="34" t="s">
        <v>18</v>
      </c>
      <c r="AJ15" s="34"/>
      <c r="AK15" s="32"/>
      <c r="AL15" s="34" t="s">
        <v>26</v>
      </c>
      <c r="AM15" s="35"/>
      <c r="AN15" s="32" t="s">
        <v>27</v>
      </c>
      <c r="AO15" s="34"/>
      <c r="AP15" s="34"/>
      <c r="AQ15" s="32"/>
      <c r="AR15" s="33"/>
      <c r="AS15" s="33"/>
      <c r="AT15" s="32"/>
      <c r="AU15" s="33"/>
      <c r="AV15" s="33"/>
      <c r="AW15" s="32"/>
      <c r="AX15" s="33"/>
      <c r="AY15" s="33"/>
      <c r="AZ15" s="47">
        <f t="shared" si="0"/>
        <v>0</v>
      </c>
      <c r="BA15" s="47">
        <f t="shared" si="1"/>
        <v>11</v>
      </c>
      <c r="BB15" s="47">
        <f t="shared" si="2"/>
        <v>9</v>
      </c>
      <c r="BC15" s="48">
        <v>600</v>
      </c>
      <c r="BD15" s="47">
        <f t="shared" si="3"/>
        <v>6600</v>
      </c>
      <c r="BE15" s="47">
        <f t="shared" si="4"/>
        <v>675</v>
      </c>
      <c r="BF15" s="47">
        <f t="shared" si="5"/>
        <v>7275</v>
      </c>
      <c r="BG15" s="45"/>
      <c r="BH15" s="18" t="s">
        <v>22</v>
      </c>
    </row>
    <row r="16" spans="1:60" s="43" customFormat="1" ht="15" customHeight="1" thickBot="1" x14ac:dyDescent="0.25">
      <c r="A16" s="29">
        <v>12</v>
      </c>
      <c r="B16" s="49" t="s">
        <v>53</v>
      </c>
      <c r="C16" s="39" t="s">
        <v>31</v>
      </c>
      <c r="D16" s="31" t="s">
        <v>71</v>
      </c>
      <c r="E16" s="32" t="s">
        <v>18</v>
      </c>
      <c r="F16" s="33">
        <v>3</v>
      </c>
      <c r="G16" s="32" t="s">
        <v>21</v>
      </c>
      <c r="H16" s="32" t="s">
        <v>18</v>
      </c>
      <c r="I16" s="33">
        <v>1</v>
      </c>
      <c r="J16" s="32" t="s">
        <v>20</v>
      </c>
      <c r="K16" s="32" t="s">
        <v>18</v>
      </c>
      <c r="L16" s="33">
        <v>2</v>
      </c>
      <c r="M16" s="32" t="s">
        <v>25</v>
      </c>
      <c r="N16" s="34" t="s">
        <v>18</v>
      </c>
      <c r="O16" s="34">
        <v>2</v>
      </c>
      <c r="P16" s="32" t="s">
        <v>28</v>
      </c>
      <c r="Q16" s="34" t="s">
        <v>18</v>
      </c>
      <c r="R16" s="34">
        <v>3</v>
      </c>
      <c r="S16" s="32" t="s">
        <v>25</v>
      </c>
      <c r="T16" s="34" t="s">
        <v>18</v>
      </c>
      <c r="U16" s="34">
        <v>3</v>
      </c>
      <c r="V16" s="32" t="s">
        <v>39</v>
      </c>
      <c r="W16" s="34" t="s">
        <v>29</v>
      </c>
      <c r="X16" s="34"/>
      <c r="Y16" s="32"/>
      <c r="Z16" s="34" t="s">
        <v>29</v>
      </c>
      <c r="AA16" s="34"/>
      <c r="AB16" s="32"/>
      <c r="AC16" s="34" t="s">
        <v>29</v>
      </c>
      <c r="AD16" s="34"/>
      <c r="AE16" s="32"/>
      <c r="AF16" s="34"/>
      <c r="AG16" s="34"/>
      <c r="AH16" s="32"/>
      <c r="AI16" s="34"/>
      <c r="AJ16" s="34"/>
      <c r="AK16" s="32"/>
      <c r="AL16" s="34"/>
      <c r="AM16" s="35"/>
      <c r="AN16" s="32"/>
      <c r="AO16" s="34"/>
      <c r="AP16" s="34"/>
      <c r="AQ16" s="32"/>
      <c r="AR16" s="33"/>
      <c r="AS16" s="33"/>
      <c r="AT16" s="32"/>
      <c r="AU16" s="33"/>
      <c r="AV16" s="33"/>
      <c r="AW16" s="32"/>
      <c r="AX16" s="33"/>
      <c r="AY16" s="33"/>
      <c r="AZ16" s="47">
        <f t="shared" si="0"/>
        <v>0</v>
      </c>
      <c r="BA16" s="47">
        <f t="shared" si="1"/>
        <v>6</v>
      </c>
      <c r="BB16" s="47">
        <f t="shared" si="2"/>
        <v>14</v>
      </c>
      <c r="BC16" s="48">
        <v>600</v>
      </c>
      <c r="BD16" s="47">
        <f t="shared" si="3"/>
        <v>3600</v>
      </c>
      <c r="BE16" s="47">
        <f t="shared" si="4"/>
        <v>1050</v>
      </c>
      <c r="BF16" s="47">
        <f t="shared" si="5"/>
        <v>4650</v>
      </c>
      <c r="BG16" s="45"/>
      <c r="BH16" s="18" t="s">
        <v>22</v>
      </c>
    </row>
    <row r="17" spans="1:60" s="43" customFormat="1" ht="15" customHeight="1" thickBot="1" x14ac:dyDescent="0.25">
      <c r="A17" s="29">
        <v>13</v>
      </c>
      <c r="B17" s="49" t="s">
        <v>54</v>
      </c>
      <c r="C17" s="39" t="s">
        <v>17</v>
      </c>
      <c r="D17" s="31" t="s">
        <v>71</v>
      </c>
      <c r="E17" s="32" t="s">
        <v>18</v>
      </c>
      <c r="F17" s="33">
        <v>3</v>
      </c>
      <c r="G17" s="32" t="s">
        <v>21</v>
      </c>
      <c r="H17" s="32" t="s">
        <v>18</v>
      </c>
      <c r="I17" s="33">
        <v>1</v>
      </c>
      <c r="J17" s="32" t="s">
        <v>32</v>
      </c>
      <c r="K17" s="32" t="s">
        <v>18</v>
      </c>
      <c r="L17" s="33">
        <v>2</v>
      </c>
      <c r="M17" s="32" t="s">
        <v>21</v>
      </c>
      <c r="N17" s="34" t="s">
        <v>18</v>
      </c>
      <c r="O17" s="34">
        <v>2</v>
      </c>
      <c r="P17" s="32" t="s">
        <v>55</v>
      </c>
      <c r="Q17" s="34" t="s">
        <v>18</v>
      </c>
      <c r="R17" s="34">
        <v>3</v>
      </c>
      <c r="S17" s="32" t="s">
        <v>25</v>
      </c>
      <c r="T17" s="34" t="s">
        <v>18</v>
      </c>
      <c r="U17" s="34">
        <v>3</v>
      </c>
      <c r="V17" s="32" t="s">
        <v>39</v>
      </c>
      <c r="W17" s="34" t="s">
        <v>18</v>
      </c>
      <c r="X17" s="34">
        <v>1</v>
      </c>
      <c r="Y17" s="32" t="s">
        <v>33</v>
      </c>
      <c r="Z17" s="34" t="s">
        <v>18</v>
      </c>
      <c r="AA17" s="34">
        <v>2</v>
      </c>
      <c r="AB17" s="32" t="s">
        <v>25</v>
      </c>
      <c r="AC17" s="36" t="s">
        <v>18</v>
      </c>
      <c r="AD17" s="36">
        <v>1</v>
      </c>
      <c r="AE17" s="41" t="s">
        <v>56</v>
      </c>
      <c r="AF17" s="34" t="s">
        <v>26</v>
      </c>
      <c r="AG17" s="34">
        <v>1</v>
      </c>
      <c r="AH17" s="32" t="s">
        <v>49</v>
      </c>
      <c r="AI17" s="34" t="s">
        <v>26</v>
      </c>
      <c r="AJ17" s="34">
        <v>1</v>
      </c>
      <c r="AK17" s="32" t="s">
        <v>57</v>
      </c>
      <c r="AL17" s="34" t="s">
        <v>26</v>
      </c>
      <c r="AM17" s="35">
        <v>1</v>
      </c>
      <c r="AN17" s="32" t="s">
        <v>57</v>
      </c>
      <c r="AO17" s="34" t="s">
        <v>26</v>
      </c>
      <c r="AP17" s="34">
        <v>1</v>
      </c>
      <c r="AQ17" s="32" t="s">
        <v>51</v>
      </c>
      <c r="AR17" s="33" t="s">
        <v>18</v>
      </c>
      <c r="AS17" s="33">
        <v>1</v>
      </c>
      <c r="AT17" s="32" t="s">
        <v>25</v>
      </c>
      <c r="AU17" s="33" t="s">
        <v>18</v>
      </c>
      <c r="AV17" s="33">
        <v>1</v>
      </c>
      <c r="AW17" s="32" t="s">
        <v>25</v>
      </c>
      <c r="AX17" s="33" t="s">
        <v>18</v>
      </c>
      <c r="AY17" s="33">
        <v>1</v>
      </c>
      <c r="AZ17" s="47">
        <f t="shared" si="0"/>
        <v>0</v>
      </c>
      <c r="BA17" s="47">
        <f t="shared" si="1"/>
        <v>16</v>
      </c>
      <c r="BB17" s="47">
        <f t="shared" si="2"/>
        <v>25</v>
      </c>
      <c r="BC17" s="48">
        <v>900</v>
      </c>
      <c r="BD17" s="47">
        <f t="shared" si="3"/>
        <v>14400</v>
      </c>
      <c r="BE17" s="47">
        <f t="shared" si="4"/>
        <v>2812.5</v>
      </c>
      <c r="BF17" s="47">
        <f t="shared" si="5"/>
        <v>17212.5</v>
      </c>
      <c r="BG17" s="45"/>
      <c r="BH17" s="18" t="s">
        <v>22</v>
      </c>
    </row>
    <row r="18" spans="1:60" s="43" customFormat="1" ht="15" customHeight="1" thickBot="1" x14ac:dyDescent="0.25">
      <c r="A18" s="29">
        <v>14</v>
      </c>
      <c r="B18" s="49" t="s">
        <v>58</v>
      </c>
      <c r="C18" s="39" t="s">
        <v>31</v>
      </c>
      <c r="D18" s="31" t="s">
        <v>71</v>
      </c>
      <c r="E18" s="32" t="s">
        <v>18</v>
      </c>
      <c r="F18" s="33">
        <v>2</v>
      </c>
      <c r="G18" s="32" t="s">
        <v>19</v>
      </c>
      <c r="H18" s="32" t="s">
        <v>18</v>
      </c>
      <c r="I18" s="33">
        <v>3</v>
      </c>
      <c r="J18" s="32" t="s">
        <v>19</v>
      </c>
      <c r="K18" s="32" t="s">
        <v>18</v>
      </c>
      <c r="L18" s="33">
        <v>2</v>
      </c>
      <c r="M18" s="32" t="s">
        <v>19</v>
      </c>
      <c r="N18" s="34" t="s">
        <v>18</v>
      </c>
      <c r="O18" s="34">
        <v>2</v>
      </c>
      <c r="P18" s="32" t="s">
        <v>33</v>
      </c>
      <c r="Q18" s="34" t="s">
        <v>18</v>
      </c>
      <c r="R18" s="34">
        <v>4</v>
      </c>
      <c r="S18" s="32"/>
      <c r="T18" s="34" t="s">
        <v>18</v>
      </c>
      <c r="U18" s="34"/>
      <c r="V18" s="32"/>
      <c r="W18" s="34" t="s">
        <v>18</v>
      </c>
      <c r="X18" s="34"/>
      <c r="Y18" s="32"/>
      <c r="Z18" s="34" t="s">
        <v>18</v>
      </c>
      <c r="AA18" s="34">
        <v>1</v>
      </c>
      <c r="AB18" s="32" t="s">
        <v>25</v>
      </c>
      <c r="AC18" s="36" t="s">
        <v>18</v>
      </c>
      <c r="AD18" s="36">
        <v>1</v>
      </c>
      <c r="AE18" s="41" t="s">
        <v>32</v>
      </c>
      <c r="AF18" s="34" t="s">
        <v>18</v>
      </c>
      <c r="AG18" s="34">
        <v>1</v>
      </c>
      <c r="AH18" s="32"/>
      <c r="AI18" s="34" t="s">
        <v>18</v>
      </c>
      <c r="AJ18" s="34">
        <v>3</v>
      </c>
      <c r="AK18" s="32"/>
      <c r="AL18" s="34" t="s">
        <v>18</v>
      </c>
      <c r="AM18" s="35">
        <v>2</v>
      </c>
      <c r="AN18" s="32"/>
      <c r="AO18" s="34" t="s">
        <v>18</v>
      </c>
      <c r="AP18" s="34">
        <v>2</v>
      </c>
      <c r="AQ18" s="32"/>
      <c r="AR18" s="33" t="s">
        <v>18</v>
      </c>
      <c r="AS18" s="33">
        <v>2</v>
      </c>
      <c r="AT18" s="32"/>
      <c r="AU18" s="33" t="s">
        <v>18</v>
      </c>
      <c r="AV18" s="33"/>
      <c r="AW18" s="32"/>
      <c r="AX18" s="33" t="s">
        <v>18</v>
      </c>
      <c r="AY18" s="33">
        <v>1</v>
      </c>
      <c r="AZ18" s="47">
        <f t="shared" si="0"/>
        <v>0</v>
      </c>
      <c r="BA18" s="47">
        <f t="shared" si="1"/>
        <v>16</v>
      </c>
      <c r="BB18" s="47">
        <f t="shared" si="2"/>
        <v>26</v>
      </c>
      <c r="BC18" s="48">
        <v>700</v>
      </c>
      <c r="BD18" s="47">
        <f t="shared" si="3"/>
        <v>11200</v>
      </c>
      <c r="BE18" s="47">
        <f t="shared" si="4"/>
        <v>2275</v>
      </c>
      <c r="BF18" s="47">
        <f t="shared" si="5"/>
        <v>13475</v>
      </c>
      <c r="BG18" s="45"/>
      <c r="BH18" s="18" t="s">
        <v>22</v>
      </c>
    </row>
    <row r="19" spans="1:60" s="43" customFormat="1" ht="15" customHeight="1" thickBot="1" x14ac:dyDescent="0.25">
      <c r="A19" s="29">
        <v>15</v>
      </c>
      <c r="B19" s="49" t="s">
        <v>59</v>
      </c>
      <c r="C19" s="50" t="s">
        <v>17</v>
      </c>
      <c r="D19" s="31" t="s">
        <v>71</v>
      </c>
      <c r="E19" s="32" t="s">
        <v>18</v>
      </c>
      <c r="F19" s="33">
        <v>2</v>
      </c>
      <c r="G19" s="32" t="s">
        <v>19</v>
      </c>
      <c r="H19" s="32" t="s">
        <v>18</v>
      </c>
      <c r="I19" s="33">
        <v>3</v>
      </c>
      <c r="J19" s="32" t="s">
        <v>19</v>
      </c>
      <c r="K19" s="32" t="s">
        <v>18</v>
      </c>
      <c r="L19" s="33">
        <v>4</v>
      </c>
      <c r="M19" s="32" t="s">
        <v>19</v>
      </c>
      <c r="N19" s="34" t="s">
        <v>18</v>
      </c>
      <c r="O19" s="34">
        <v>4</v>
      </c>
      <c r="P19" s="32"/>
      <c r="Q19" s="34" t="s">
        <v>18</v>
      </c>
      <c r="R19" s="34">
        <v>4</v>
      </c>
      <c r="S19" s="32" t="s">
        <v>25</v>
      </c>
      <c r="T19" s="34" t="s">
        <v>18</v>
      </c>
      <c r="U19" s="34">
        <v>3</v>
      </c>
      <c r="V19" s="32" t="s">
        <v>21</v>
      </c>
      <c r="W19" s="34" t="s">
        <v>18</v>
      </c>
      <c r="X19" s="34">
        <v>1</v>
      </c>
      <c r="Y19" s="32" t="s">
        <v>21</v>
      </c>
      <c r="Z19" s="34" t="s">
        <v>26</v>
      </c>
      <c r="AA19" s="34">
        <v>2</v>
      </c>
      <c r="AB19" s="32" t="s">
        <v>25</v>
      </c>
      <c r="AC19" s="36" t="s">
        <v>18</v>
      </c>
      <c r="AD19" s="36">
        <v>1</v>
      </c>
      <c r="AE19" s="41" t="s">
        <v>32</v>
      </c>
      <c r="AF19" s="36" t="s">
        <v>29</v>
      </c>
      <c r="AG19" s="34"/>
      <c r="AH19" s="32"/>
      <c r="AI19" s="34" t="s">
        <v>26</v>
      </c>
      <c r="AJ19" s="34"/>
      <c r="AK19" s="32" t="s">
        <v>60</v>
      </c>
      <c r="AL19" s="34" t="s">
        <v>26</v>
      </c>
      <c r="AM19" s="35">
        <v>2</v>
      </c>
      <c r="AN19" s="32" t="s">
        <v>37</v>
      </c>
      <c r="AO19" s="34" t="s">
        <v>18</v>
      </c>
      <c r="AP19" s="34">
        <v>2</v>
      </c>
      <c r="AQ19" s="32"/>
      <c r="AR19" s="33" t="s">
        <v>18</v>
      </c>
      <c r="AS19" s="33">
        <v>2</v>
      </c>
      <c r="AT19" s="32"/>
      <c r="AU19" s="33" t="s">
        <v>29</v>
      </c>
      <c r="AV19" s="33"/>
      <c r="AW19" s="32"/>
      <c r="AX19" s="33" t="s">
        <v>18</v>
      </c>
      <c r="AY19" s="33">
        <v>1</v>
      </c>
      <c r="AZ19" s="47">
        <f t="shared" si="0"/>
        <v>0</v>
      </c>
      <c r="BA19" s="47">
        <f t="shared" si="1"/>
        <v>14</v>
      </c>
      <c r="BB19" s="47">
        <f t="shared" si="2"/>
        <v>31</v>
      </c>
      <c r="BC19" s="48">
        <v>900</v>
      </c>
      <c r="BD19" s="47">
        <f t="shared" si="3"/>
        <v>12600</v>
      </c>
      <c r="BE19" s="47">
        <f t="shared" si="4"/>
        <v>3487.5</v>
      </c>
      <c r="BF19" s="47">
        <f t="shared" si="5"/>
        <v>16087.5</v>
      </c>
      <c r="BG19" s="45"/>
      <c r="BH19" s="18" t="s">
        <v>42</v>
      </c>
    </row>
    <row r="20" spans="1:60" s="43" customFormat="1" ht="15" customHeight="1" thickBot="1" x14ac:dyDescent="0.25">
      <c r="A20" s="29">
        <v>16</v>
      </c>
      <c r="B20" s="49" t="s">
        <v>61</v>
      </c>
      <c r="C20" s="39" t="s">
        <v>24</v>
      </c>
      <c r="D20" s="31" t="s">
        <v>71</v>
      </c>
      <c r="E20" s="32" t="s">
        <v>18</v>
      </c>
      <c r="F20" s="33">
        <v>3</v>
      </c>
      <c r="G20" s="32" t="s">
        <v>21</v>
      </c>
      <c r="H20" s="32" t="s">
        <v>18</v>
      </c>
      <c r="I20" s="33">
        <v>1</v>
      </c>
      <c r="J20" s="32" t="s">
        <v>19</v>
      </c>
      <c r="K20" s="32" t="s">
        <v>18</v>
      </c>
      <c r="L20" s="33">
        <v>2</v>
      </c>
      <c r="M20" s="32" t="s">
        <v>21</v>
      </c>
      <c r="N20" s="34" t="s">
        <v>18</v>
      </c>
      <c r="O20" s="34">
        <v>2</v>
      </c>
      <c r="P20" s="32" t="s">
        <v>20</v>
      </c>
      <c r="Q20" s="34" t="s">
        <v>18</v>
      </c>
      <c r="R20" s="34">
        <v>2</v>
      </c>
      <c r="S20" s="32" t="s">
        <v>25</v>
      </c>
      <c r="T20" s="34" t="s">
        <v>18</v>
      </c>
      <c r="U20" s="34">
        <v>3</v>
      </c>
      <c r="V20" s="32" t="s">
        <v>21</v>
      </c>
      <c r="W20" s="34" t="s">
        <v>18</v>
      </c>
      <c r="X20" s="34">
        <v>1</v>
      </c>
      <c r="Y20" s="32" t="s">
        <v>21</v>
      </c>
      <c r="Z20" s="34" t="s">
        <v>18</v>
      </c>
      <c r="AA20" s="34">
        <v>1</v>
      </c>
      <c r="AB20" s="32" t="s">
        <v>25</v>
      </c>
      <c r="AC20" s="36" t="s">
        <v>18</v>
      </c>
      <c r="AD20" s="36">
        <v>1</v>
      </c>
      <c r="AE20" s="41" t="s">
        <v>32</v>
      </c>
      <c r="AF20" s="34" t="s">
        <v>26</v>
      </c>
      <c r="AG20" s="34">
        <v>1</v>
      </c>
      <c r="AH20" s="32" t="s">
        <v>49</v>
      </c>
      <c r="AI20" s="34" t="s">
        <v>26</v>
      </c>
      <c r="AJ20" s="34">
        <v>1</v>
      </c>
      <c r="AK20" s="32" t="s">
        <v>57</v>
      </c>
      <c r="AL20" s="34" t="s">
        <v>26</v>
      </c>
      <c r="AM20" s="35">
        <v>1</v>
      </c>
      <c r="AN20" s="32" t="s">
        <v>37</v>
      </c>
      <c r="AO20" s="34" t="s">
        <v>18</v>
      </c>
      <c r="AP20" s="34">
        <v>1</v>
      </c>
      <c r="AQ20" s="32" t="s">
        <v>51</v>
      </c>
      <c r="AR20" s="33" t="s">
        <v>18</v>
      </c>
      <c r="AS20" s="33">
        <v>1</v>
      </c>
      <c r="AT20" s="32" t="s">
        <v>25</v>
      </c>
      <c r="AU20" s="33" t="s">
        <v>18</v>
      </c>
      <c r="AV20" s="33">
        <v>1</v>
      </c>
      <c r="AW20" s="32" t="s">
        <v>25</v>
      </c>
      <c r="AX20" s="33" t="s">
        <v>18</v>
      </c>
      <c r="AY20" s="33">
        <v>1</v>
      </c>
      <c r="AZ20" s="47">
        <f t="shared" si="0"/>
        <v>0</v>
      </c>
      <c r="BA20" s="47">
        <f t="shared" si="1"/>
        <v>16</v>
      </c>
      <c r="BB20" s="47">
        <f t="shared" si="2"/>
        <v>23</v>
      </c>
      <c r="BC20" s="48">
        <v>850</v>
      </c>
      <c r="BD20" s="47">
        <f t="shared" si="3"/>
        <v>13600</v>
      </c>
      <c r="BE20" s="47">
        <f t="shared" si="4"/>
        <v>2443.75</v>
      </c>
      <c r="BF20" s="47">
        <f t="shared" si="5"/>
        <v>16043.75</v>
      </c>
      <c r="BG20" s="45"/>
      <c r="BH20" s="18" t="s">
        <v>22</v>
      </c>
    </row>
    <row r="21" spans="1:60" s="43" customFormat="1" ht="15" customHeight="1" thickBot="1" x14ac:dyDescent="0.25">
      <c r="A21" s="29">
        <v>17</v>
      </c>
      <c r="B21" s="49" t="s">
        <v>62</v>
      </c>
      <c r="C21" s="39"/>
      <c r="D21" s="31" t="s">
        <v>71</v>
      </c>
      <c r="E21" s="32" t="s">
        <v>29</v>
      </c>
      <c r="F21" s="33"/>
      <c r="G21" s="32"/>
      <c r="H21" s="32" t="s">
        <v>29</v>
      </c>
      <c r="I21" s="33"/>
      <c r="J21" s="32"/>
      <c r="K21" s="32" t="s">
        <v>18</v>
      </c>
      <c r="L21" s="33">
        <v>3</v>
      </c>
      <c r="M21" s="32"/>
      <c r="N21" s="34" t="s">
        <v>18</v>
      </c>
      <c r="O21" s="34">
        <v>3</v>
      </c>
      <c r="P21" s="32"/>
      <c r="Q21" s="34" t="s">
        <v>18</v>
      </c>
      <c r="R21" s="34">
        <v>3</v>
      </c>
      <c r="S21" s="32"/>
      <c r="T21" s="34" t="s">
        <v>18</v>
      </c>
      <c r="U21" s="34">
        <v>2</v>
      </c>
      <c r="V21" s="32"/>
      <c r="W21" s="34" t="s">
        <v>18</v>
      </c>
      <c r="X21" s="34"/>
      <c r="Y21" s="32"/>
      <c r="Z21" s="34" t="s">
        <v>18</v>
      </c>
      <c r="AA21" s="34">
        <v>1</v>
      </c>
      <c r="AB21" s="32" t="s">
        <v>25</v>
      </c>
      <c r="AC21" s="36" t="s">
        <v>18</v>
      </c>
      <c r="AD21" s="36">
        <v>1</v>
      </c>
      <c r="AE21" s="41" t="s">
        <v>56</v>
      </c>
      <c r="AF21" s="34" t="s">
        <v>18</v>
      </c>
      <c r="AG21" s="34">
        <v>3</v>
      </c>
      <c r="AH21" s="32"/>
      <c r="AI21" s="34" t="s">
        <v>29</v>
      </c>
      <c r="AJ21" s="34"/>
      <c r="AK21" s="32"/>
      <c r="AL21" s="34" t="s">
        <v>26</v>
      </c>
      <c r="AM21" s="35"/>
      <c r="AN21" s="32" t="s">
        <v>27</v>
      </c>
      <c r="AO21" s="34" t="s">
        <v>18</v>
      </c>
      <c r="AP21" s="34"/>
      <c r="AQ21" s="32"/>
      <c r="AR21" s="33" t="s">
        <v>18</v>
      </c>
      <c r="AS21" s="33"/>
      <c r="AT21" s="32"/>
      <c r="AU21" s="33" t="s">
        <v>18</v>
      </c>
      <c r="AV21" s="33">
        <v>1</v>
      </c>
      <c r="AW21" s="32"/>
      <c r="AX21" s="33" t="s">
        <v>18</v>
      </c>
      <c r="AY21" s="33">
        <v>3</v>
      </c>
      <c r="AZ21" s="47">
        <f t="shared" si="0"/>
        <v>0</v>
      </c>
      <c r="BA21" s="47">
        <f t="shared" si="1"/>
        <v>13</v>
      </c>
      <c r="BB21" s="47">
        <f t="shared" si="2"/>
        <v>20</v>
      </c>
      <c r="BC21" s="48">
        <v>600</v>
      </c>
      <c r="BD21" s="47">
        <f t="shared" si="3"/>
        <v>7800</v>
      </c>
      <c r="BE21" s="47">
        <f t="shared" si="4"/>
        <v>1500</v>
      </c>
      <c r="BF21" s="47">
        <f t="shared" si="5"/>
        <v>9300</v>
      </c>
      <c r="BG21" s="45"/>
      <c r="BH21" s="18" t="s">
        <v>22</v>
      </c>
    </row>
    <row r="22" spans="1:60" s="43" customFormat="1" ht="19.5" customHeight="1" thickBot="1" x14ac:dyDescent="0.25">
      <c r="A22" s="29">
        <v>18</v>
      </c>
      <c r="B22" s="49" t="s">
        <v>63</v>
      </c>
      <c r="C22" s="39"/>
      <c r="D22" s="31" t="s">
        <v>71</v>
      </c>
      <c r="E22" s="32"/>
      <c r="F22" s="33"/>
      <c r="G22" s="32"/>
      <c r="H22" s="32"/>
      <c r="I22" s="33"/>
      <c r="J22" s="32"/>
      <c r="K22" s="32"/>
      <c r="L22" s="33"/>
      <c r="M22" s="32"/>
      <c r="N22" s="34"/>
      <c r="O22" s="34"/>
      <c r="P22" s="32"/>
      <c r="Q22" s="34"/>
      <c r="R22" s="34"/>
      <c r="S22" s="32"/>
      <c r="T22" s="34"/>
      <c r="U22" s="34"/>
      <c r="V22" s="32"/>
      <c r="W22" s="34"/>
      <c r="X22" s="34"/>
      <c r="Y22" s="32"/>
      <c r="Z22" s="34"/>
      <c r="AA22" s="34"/>
      <c r="AB22" s="32"/>
      <c r="AC22" s="36"/>
      <c r="AD22" s="36"/>
      <c r="AE22" s="41"/>
      <c r="AF22" s="34"/>
      <c r="AG22" s="34"/>
      <c r="AH22" s="32"/>
      <c r="AI22" s="34"/>
      <c r="AJ22" s="34"/>
      <c r="AK22" s="32"/>
      <c r="AL22" s="34"/>
      <c r="AM22" s="35"/>
      <c r="AN22" s="32"/>
      <c r="AO22" s="34"/>
      <c r="AP22" s="34"/>
      <c r="AQ22" s="32"/>
      <c r="AR22" s="33"/>
      <c r="AS22" s="33"/>
      <c r="AT22" s="32"/>
      <c r="AU22" s="33"/>
      <c r="AV22" s="33"/>
      <c r="AW22" s="32"/>
      <c r="AX22" s="33"/>
      <c r="AY22" s="33"/>
      <c r="AZ22" s="47">
        <f t="shared" si="0"/>
        <v>0</v>
      </c>
      <c r="BA22" s="47">
        <f t="shared" si="1"/>
        <v>0</v>
      </c>
      <c r="BB22" s="47">
        <f t="shared" si="2"/>
        <v>0</v>
      </c>
      <c r="BC22" s="48">
        <v>600</v>
      </c>
      <c r="BD22" s="47">
        <f t="shared" si="3"/>
        <v>0</v>
      </c>
      <c r="BE22" s="47">
        <f t="shared" si="4"/>
        <v>0</v>
      </c>
      <c r="BF22" s="47">
        <f t="shared" si="5"/>
        <v>0</v>
      </c>
      <c r="BG22" s="45"/>
      <c r="BH22" s="18" t="s">
        <v>22</v>
      </c>
    </row>
    <row r="23" spans="1:60" ht="15.75" customHeight="1" thickBot="1" x14ac:dyDescent="0.25">
      <c r="A23" s="29">
        <v>19</v>
      </c>
      <c r="B23" s="51" t="s">
        <v>64</v>
      </c>
      <c r="C23" s="52" t="s">
        <v>31</v>
      </c>
      <c r="D23" s="31" t="s">
        <v>71</v>
      </c>
      <c r="E23" s="32" t="s">
        <v>29</v>
      </c>
      <c r="F23" s="32"/>
      <c r="G23" s="32"/>
      <c r="H23" s="32" t="s">
        <v>29</v>
      </c>
      <c r="I23" s="32"/>
      <c r="J23" s="32"/>
      <c r="K23" s="32" t="s">
        <v>18</v>
      </c>
      <c r="L23" s="40">
        <v>3</v>
      </c>
      <c r="M23" s="32" t="s">
        <v>19</v>
      </c>
      <c r="N23" s="32" t="s">
        <v>18</v>
      </c>
      <c r="O23" s="40">
        <v>3</v>
      </c>
      <c r="P23" s="32"/>
      <c r="Q23" s="32" t="s">
        <v>18</v>
      </c>
      <c r="R23" s="40">
        <v>3</v>
      </c>
      <c r="S23" s="32"/>
      <c r="T23" s="32" t="s">
        <v>18</v>
      </c>
      <c r="U23" s="40">
        <v>3</v>
      </c>
      <c r="V23" s="32"/>
      <c r="W23" s="32" t="s">
        <v>18</v>
      </c>
      <c r="X23" s="40"/>
      <c r="Y23" s="40"/>
      <c r="Z23" s="32" t="s">
        <v>18</v>
      </c>
      <c r="AA23" s="40">
        <v>1</v>
      </c>
      <c r="AB23" s="32"/>
      <c r="AC23" s="32" t="s">
        <v>18</v>
      </c>
      <c r="AD23" s="40">
        <v>2</v>
      </c>
      <c r="AE23" s="40"/>
      <c r="AF23" s="32" t="s">
        <v>18</v>
      </c>
      <c r="AG23" s="40">
        <v>1</v>
      </c>
      <c r="AH23" s="40"/>
      <c r="AI23" s="32" t="s">
        <v>18</v>
      </c>
      <c r="AJ23" s="40">
        <v>1</v>
      </c>
      <c r="AK23" s="32"/>
      <c r="AL23" s="32" t="s">
        <v>26</v>
      </c>
      <c r="AM23" s="32"/>
      <c r="AN23" s="40" t="s">
        <v>27</v>
      </c>
      <c r="AO23" s="32" t="s">
        <v>18</v>
      </c>
      <c r="AP23" s="32"/>
      <c r="AQ23" s="32"/>
      <c r="AR23" s="32" t="s">
        <v>18</v>
      </c>
      <c r="AS23" s="40"/>
      <c r="AT23" s="32"/>
      <c r="AU23" s="32" t="s">
        <v>18</v>
      </c>
      <c r="AV23" s="40">
        <v>1</v>
      </c>
      <c r="AW23" s="32"/>
      <c r="AX23" s="32" t="s">
        <v>18</v>
      </c>
      <c r="AY23" s="40">
        <v>2</v>
      </c>
      <c r="AZ23" s="53">
        <f t="shared" si="0"/>
        <v>0</v>
      </c>
      <c r="BA23" s="53">
        <f t="shared" si="1"/>
        <v>14</v>
      </c>
      <c r="BB23" s="53">
        <f t="shared" si="2"/>
        <v>20</v>
      </c>
      <c r="BC23" s="54">
        <v>850</v>
      </c>
      <c r="BD23" s="53">
        <f>(BA23)*BC23+600</f>
        <v>12500</v>
      </c>
      <c r="BE23" s="53">
        <f>(BC23/8*BB23)</f>
        <v>2125</v>
      </c>
      <c r="BF23" s="55">
        <f>BD23+BE23</f>
        <v>14625</v>
      </c>
      <c r="BG23" s="56"/>
      <c r="BH23" s="13" t="s">
        <v>22</v>
      </c>
    </row>
    <row r="24" spans="1:60" ht="17.25" customHeight="1" x14ac:dyDescent="0.2">
      <c r="A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D24" s="81" t="s">
        <v>65</v>
      </c>
      <c r="BE24" s="81"/>
      <c r="BF24" s="57">
        <f>SUM(BF5:BF23)</f>
        <v>229168.75</v>
      </c>
    </row>
    <row r="25" spans="1:60" ht="17.25" customHeight="1" x14ac:dyDescent="0.2">
      <c r="A25" s="13"/>
      <c r="C25" s="13"/>
      <c r="D25" s="13" t="s">
        <v>72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D25" s="82" t="s">
        <v>66</v>
      </c>
      <c r="BE25" s="82"/>
      <c r="BF25" s="58">
        <v>95000</v>
      </c>
    </row>
    <row r="26" spans="1:60" ht="17.25" customHeight="1" x14ac:dyDescent="0.2">
      <c r="A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D26" s="83" t="s">
        <v>67</v>
      </c>
      <c r="BE26" s="83"/>
      <c r="BF26" s="59">
        <f>BF24-BF25</f>
        <v>134168.75</v>
      </c>
    </row>
    <row r="27" spans="1:60" ht="17.25" customHeight="1" x14ac:dyDescent="0.2">
      <c r="A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E27" s="60" t="s">
        <v>68</v>
      </c>
      <c r="BF27" s="11">
        <v>200000</v>
      </c>
    </row>
    <row r="28" spans="1:60" ht="17.25" customHeight="1" x14ac:dyDescent="0.2">
      <c r="A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E28" s="60" t="s">
        <v>69</v>
      </c>
      <c r="BF28" s="11">
        <v>50000</v>
      </c>
    </row>
    <row r="29" spans="1:60" ht="6" customHeight="1" x14ac:dyDescent="0.2">
      <c r="A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E29" s="60"/>
      <c r="BF29" s="11"/>
    </row>
  </sheetData>
  <mergeCells count="21">
    <mergeCell ref="AZ3:BF3"/>
    <mergeCell ref="BD24:BE24"/>
    <mergeCell ref="BD25:BE25"/>
    <mergeCell ref="BD26:BE26"/>
    <mergeCell ref="AL3:AN3"/>
    <mergeCell ref="AO3:AQ3"/>
    <mergeCell ref="AR3:AT3"/>
    <mergeCell ref="AU3:AW3"/>
    <mergeCell ref="AX3:AY3"/>
    <mergeCell ref="AI3:AK3"/>
    <mergeCell ref="E1:G1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A16F-A7A8-4053-B5C0-0107970C333D}">
  <dimension ref="A1:DA27"/>
  <sheetViews>
    <sheetView tabSelected="1" workbookViewId="0">
      <selection activeCell="B31" sqref="B31"/>
    </sheetView>
  </sheetViews>
  <sheetFormatPr defaultColWidth="9.140625" defaultRowHeight="12" x14ac:dyDescent="0.2"/>
  <cols>
    <col min="1" max="1" width="9.140625" style="7"/>
    <col min="2" max="2" width="29.28515625" style="13" customWidth="1"/>
    <col min="3" max="3" width="25.42578125" style="9" customWidth="1"/>
    <col min="4" max="4" width="10.42578125" style="7" customWidth="1"/>
    <col min="5" max="5" width="7.7109375" style="7" customWidth="1"/>
    <col min="6" max="6" width="7.5703125" style="7" customWidth="1"/>
    <col min="7" max="7" width="6.140625" style="7" customWidth="1"/>
    <col min="8" max="8" width="4.5703125" style="11" customWidth="1"/>
    <col min="9" max="9" width="7.140625" style="7" customWidth="1"/>
    <col min="10" max="11" width="4.5703125" style="7" customWidth="1"/>
    <col min="12" max="12" width="6.5703125" style="7" customWidth="1"/>
    <col min="13" max="14" width="4.5703125" style="7" customWidth="1"/>
    <col min="15" max="15" width="11.85546875" style="11" bestFit="1" customWidth="1"/>
    <col min="16" max="17" width="4.5703125" style="7" customWidth="1"/>
    <col min="18" max="20" width="4.5703125" style="11" customWidth="1"/>
    <col min="21" max="21" width="7.42578125" style="7" customWidth="1"/>
    <col min="22" max="22" width="4.5703125" style="7" customWidth="1"/>
    <col min="23" max="23" width="6" style="7" customWidth="1"/>
    <col min="24" max="24" width="6.5703125" style="7" customWidth="1"/>
    <col min="25" max="26" width="4.5703125" style="7" customWidth="1"/>
    <col min="27" max="27" width="7.7109375" style="7" customWidth="1"/>
    <col min="28" max="28" width="4.5703125" style="7" customWidth="1"/>
    <col min="29" max="29" width="4.5703125" style="11" customWidth="1"/>
    <col min="30" max="32" width="4.5703125" style="7" customWidth="1"/>
    <col min="33" max="33" width="9.140625" style="7"/>
    <col min="34" max="34" width="6.7109375" style="7" customWidth="1"/>
    <col min="35" max="35" width="3.28515625" style="7" customWidth="1"/>
    <col min="36" max="36" width="7.42578125" style="11" customWidth="1"/>
    <col min="37" max="37" width="4.7109375" style="7" customWidth="1"/>
    <col min="38" max="38" width="4.5703125" style="7" customWidth="1"/>
    <col min="39" max="39" width="8" style="11" customWidth="1"/>
    <col min="40" max="40" width="4.85546875" style="11" customWidth="1"/>
    <col min="41" max="41" width="4.85546875" style="7" customWidth="1"/>
    <col min="42" max="42" width="7.7109375" style="11" customWidth="1"/>
    <col min="43" max="44" width="4.5703125" style="7" customWidth="1"/>
    <col min="45" max="45" width="4.5703125" style="11" customWidth="1"/>
    <col min="46" max="47" width="4.5703125" style="7" customWidth="1"/>
    <col min="48" max="49" width="4.5703125" style="11" customWidth="1"/>
    <col min="50" max="50" width="5.42578125" style="7" customWidth="1"/>
    <col min="51" max="51" width="6.140625" style="11" customWidth="1"/>
    <col min="52" max="53" width="4.5703125" style="11" customWidth="1"/>
    <col min="54" max="54" width="7.7109375" style="11" customWidth="1"/>
    <col min="55" max="55" width="4.5703125" style="11" customWidth="1"/>
    <col min="56" max="56" width="5.7109375" style="11" customWidth="1"/>
    <col min="57" max="57" width="6.28515625" style="11" customWidth="1"/>
    <col min="58" max="58" width="4.85546875" style="11" customWidth="1"/>
    <col min="59" max="59" width="6.7109375" style="11" customWidth="1"/>
    <col min="60" max="60" width="7.28515625" style="11" customWidth="1"/>
    <col min="61" max="65" width="4.5703125" style="11" customWidth="1"/>
    <col min="66" max="66" width="5.7109375" style="11" customWidth="1"/>
    <col min="67" max="68" width="4.5703125" style="11" customWidth="1"/>
    <col min="69" max="69" width="7.28515625" style="11" customWidth="1"/>
    <col min="70" max="71" width="4.5703125" style="11" customWidth="1"/>
    <col min="72" max="72" width="3.85546875" style="11" customWidth="1"/>
    <col min="73" max="74" width="4.5703125" style="11" customWidth="1"/>
    <col min="75" max="75" width="7.28515625" style="7" customWidth="1"/>
    <col min="76" max="77" width="4.5703125" style="11" customWidth="1"/>
    <col min="78" max="78" width="6.140625" style="11" customWidth="1"/>
    <col min="79" max="83" width="4.5703125" style="11" customWidth="1"/>
    <col min="84" max="84" width="7.140625" style="11" customWidth="1"/>
    <col min="85" max="85" width="4.5703125" style="11" customWidth="1"/>
    <col min="86" max="86" width="4.5703125" style="7" customWidth="1"/>
    <col min="87" max="87" width="6.42578125" style="11" customWidth="1"/>
    <col min="88" max="89" width="6.28515625" style="11" customWidth="1"/>
    <col min="90" max="90" width="7.85546875" style="11" customWidth="1"/>
    <col min="91" max="91" width="6.28515625" style="11" customWidth="1"/>
    <col min="92" max="96" width="7.42578125" style="11" customWidth="1"/>
    <col min="97" max="97" width="14.7109375" style="11" customWidth="1"/>
    <col min="98" max="98" width="10" style="7" customWidth="1"/>
    <col min="99" max="99" width="9.42578125" style="7" customWidth="1"/>
    <col min="100" max="100" width="11.42578125" style="7" customWidth="1"/>
    <col min="101" max="101" width="10.28515625" style="7" customWidth="1"/>
    <col min="102" max="102" width="13.140625" style="12" customWidth="1"/>
    <col min="103" max="103" width="10.5703125" style="12" customWidth="1"/>
    <col min="104" max="104" width="10.42578125" style="7" customWidth="1"/>
    <col min="105" max="105" width="9.140625" style="13"/>
    <col min="106" max="106" width="14.5703125" style="11" customWidth="1"/>
    <col min="107" max="16384" width="9.140625" style="11"/>
  </cols>
  <sheetData>
    <row r="1" spans="1:105" s="19" customFormat="1" ht="15.75" x14ac:dyDescent="0.25">
      <c r="A1" s="14" t="s">
        <v>1</v>
      </c>
      <c r="B1" s="15" t="s">
        <v>2</v>
      </c>
      <c r="C1" s="16" t="s">
        <v>3</v>
      </c>
      <c r="D1" s="78">
        <v>1</v>
      </c>
      <c r="E1" s="78"/>
      <c r="F1" s="78"/>
      <c r="G1" s="84" t="s">
        <v>4</v>
      </c>
      <c r="H1" s="84"/>
      <c r="I1" s="84"/>
      <c r="J1" s="85">
        <v>3</v>
      </c>
      <c r="K1" s="85"/>
      <c r="L1" s="85"/>
      <c r="M1" s="78">
        <v>4</v>
      </c>
      <c r="N1" s="78"/>
      <c r="O1" s="78"/>
      <c r="P1" s="78">
        <v>5</v>
      </c>
      <c r="Q1" s="78"/>
      <c r="R1" s="78"/>
      <c r="S1" s="78">
        <v>6</v>
      </c>
      <c r="T1" s="78"/>
      <c r="U1" s="78"/>
      <c r="V1" s="78">
        <v>7</v>
      </c>
      <c r="W1" s="78"/>
      <c r="X1" s="78"/>
      <c r="Y1" s="78">
        <v>8</v>
      </c>
      <c r="Z1" s="78"/>
      <c r="AA1" s="78"/>
      <c r="AB1" s="78" t="s">
        <v>5</v>
      </c>
      <c r="AC1" s="78"/>
      <c r="AD1" s="78"/>
      <c r="AE1" s="78">
        <v>10</v>
      </c>
      <c r="AF1" s="78"/>
      <c r="AG1" s="78"/>
      <c r="AH1" s="78">
        <v>11</v>
      </c>
      <c r="AI1" s="78"/>
      <c r="AJ1" s="78"/>
      <c r="AK1" s="78">
        <v>12</v>
      </c>
      <c r="AL1" s="78"/>
      <c r="AM1" s="78"/>
      <c r="AN1" s="78">
        <v>13</v>
      </c>
      <c r="AO1" s="78"/>
      <c r="AP1" s="78"/>
      <c r="AQ1" s="78">
        <v>14</v>
      </c>
      <c r="AR1" s="78"/>
      <c r="AS1" s="78"/>
      <c r="AT1" s="78">
        <v>15</v>
      </c>
      <c r="AU1" s="78"/>
      <c r="AV1" s="78"/>
      <c r="AW1" s="78" t="s">
        <v>6</v>
      </c>
      <c r="AX1" s="78"/>
      <c r="AY1" s="78"/>
      <c r="AZ1" s="78">
        <v>17</v>
      </c>
      <c r="BA1" s="78"/>
      <c r="BB1" s="78"/>
      <c r="BC1" s="78">
        <v>18</v>
      </c>
      <c r="BD1" s="78"/>
      <c r="BE1" s="78"/>
      <c r="BF1" s="78">
        <v>19</v>
      </c>
      <c r="BG1" s="78"/>
      <c r="BH1" s="78"/>
      <c r="BI1" s="78">
        <v>20</v>
      </c>
      <c r="BJ1" s="78"/>
      <c r="BK1" s="78"/>
      <c r="BL1" s="78">
        <v>21</v>
      </c>
      <c r="BM1" s="78"/>
      <c r="BN1" s="78"/>
      <c r="BO1" s="78">
        <v>22</v>
      </c>
      <c r="BP1" s="78"/>
      <c r="BQ1" s="78"/>
      <c r="BR1" s="78" t="s">
        <v>73</v>
      </c>
      <c r="BS1" s="78"/>
      <c r="BT1" s="78"/>
      <c r="BU1" s="78">
        <v>24</v>
      </c>
      <c r="BV1" s="78"/>
      <c r="BW1" s="78"/>
      <c r="BX1" s="78">
        <v>25</v>
      </c>
      <c r="BY1" s="78"/>
      <c r="BZ1" s="78"/>
      <c r="CA1" s="78">
        <v>26</v>
      </c>
      <c r="CB1" s="78"/>
      <c r="CC1" s="78"/>
      <c r="CD1" s="78">
        <v>27</v>
      </c>
      <c r="CE1" s="78"/>
      <c r="CF1" s="78"/>
      <c r="CG1" s="78">
        <v>28</v>
      </c>
      <c r="CH1" s="78"/>
      <c r="CI1" s="78"/>
      <c r="CJ1" s="78">
        <v>29</v>
      </c>
      <c r="CK1" s="78"/>
      <c r="CL1" s="78"/>
      <c r="CM1" s="78" t="s">
        <v>74</v>
      </c>
      <c r="CN1" s="78"/>
      <c r="CO1" s="78"/>
      <c r="CP1" s="78" t="s">
        <v>75</v>
      </c>
      <c r="CQ1" s="78"/>
      <c r="CR1" s="78"/>
      <c r="CS1" s="80" t="s">
        <v>7</v>
      </c>
      <c r="CT1" s="80"/>
      <c r="CU1" s="80"/>
      <c r="CV1" s="80"/>
      <c r="CW1" s="80"/>
      <c r="CX1" s="80"/>
      <c r="CY1" s="80"/>
      <c r="CZ1" s="17"/>
      <c r="DA1" s="18"/>
    </row>
    <row r="2" spans="1:105" s="19" customFormat="1" ht="24" x14ac:dyDescent="0.25">
      <c r="A2" s="20"/>
      <c r="B2" s="21"/>
      <c r="C2" s="22"/>
      <c r="D2" s="23"/>
      <c r="E2" s="24" t="s">
        <v>8</v>
      </c>
      <c r="F2" s="23" t="s">
        <v>9</v>
      </c>
      <c r="G2" s="69"/>
      <c r="H2" s="70" t="s">
        <v>8</v>
      </c>
      <c r="I2" s="69" t="s">
        <v>9</v>
      </c>
      <c r="J2" s="73"/>
      <c r="K2" s="73" t="s">
        <v>8</v>
      </c>
      <c r="L2" s="73" t="s">
        <v>9</v>
      </c>
      <c r="M2" s="23"/>
      <c r="N2" s="23" t="s">
        <v>8</v>
      </c>
      <c r="O2" s="23" t="s">
        <v>9</v>
      </c>
      <c r="P2" s="23"/>
      <c r="Q2" s="23" t="s">
        <v>8</v>
      </c>
      <c r="R2" s="23" t="s">
        <v>9</v>
      </c>
      <c r="S2" s="23"/>
      <c r="T2" s="24" t="s">
        <v>8</v>
      </c>
      <c r="U2" s="23" t="s">
        <v>9</v>
      </c>
      <c r="V2" s="23"/>
      <c r="W2" s="24" t="s">
        <v>8</v>
      </c>
      <c r="X2" s="23" t="s">
        <v>9</v>
      </c>
      <c r="Y2" s="23"/>
      <c r="Z2" s="23" t="s">
        <v>8</v>
      </c>
      <c r="AA2" s="23" t="s">
        <v>9</v>
      </c>
      <c r="AB2" s="23"/>
      <c r="AC2" s="24" t="s">
        <v>8</v>
      </c>
      <c r="AD2" s="23" t="s">
        <v>9</v>
      </c>
      <c r="AE2" s="23"/>
      <c r="AF2" s="24" t="s">
        <v>8</v>
      </c>
      <c r="AG2" s="23" t="s">
        <v>9</v>
      </c>
      <c r="AH2" s="23"/>
      <c r="AI2" s="23" t="s">
        <v>8</v>
      </c>
      <c r="AJ2" s="23" t="s">
        <v>9</v>
      </c>
      <c r="AK2" s="23"/>
      <c r="AL2" s="23" t="s">
        <v>8</v>
      </c>
      <c r="AM2" s="23" t="s">
        <v>9</v>
      </c>
      <c r="AN2" s="23"/>
      <c r="AO2" s="23" t="s">
        <v>8</v>
      </c>
      <c r="AP2" s="23" t="s">
        <v>9</v>
      </c>
      <c r="AQ2" s="23"/>
      <c r="AR2" s="23" t="s">
        <v>8</v>
      </c>
      <c r="AS2" s="23" t="s">
        <v>9</v>
      </c>
      <c r="AT2" s="23"/>
      <c r="AU2" s="23" t="s">
        <v>8</v>
      </c>
      <c r="AV2" s="23" t="s">
        <v>9</v>
      </c>
      <c r="AW2" s="23"/>
      <c r="AX2" s="23" t="s">
        <v>8</v>
      </c>
      <c r="AY2" s="23" t="s">
        <v>9</v>
      </c>
      <c r="AZ2" s="23"/>
      <c r="BA2" s="24" t="s">
        <v>8</v>
      </c>
      <c r="BB2" s="23" t="s">
        <v>9</v>
      </c>
      <c r="BC2" s="23"/>
      <c r="BD2" s="24" t="s">
        <v>8</v>
      </c>
      <c r="BE2" s="23" t="s">
        <v>9</v>
      </c>
      <c r="BF2" s="23"/>
      <c r="BG2" s="24" t="s">
        <v>8</v>
      </c>
      <c r="BH2" s="23" t="s">
        <v>9</v>
      </c>
      <c r="BI2" s="23"/>
      <c r="BJ2" s="23" t="s">
        <v>8</v>
      </c>
      <c r="BK2" s="23" t="s">
        <v>9</v>
      </c>
      <c r="BL2" s="23"/>
      <c r="BM2" s="24" t="s">
        <v>8</v>
      </c>
      <c r="BN2" s="23" t="s">
        <v>9</v>
      </c>
      <c r="BO2" s="23"/>
      <c r="BP2" s="24" t="s">
        <v>8</v>
      </c>
      <c r="BQ2" s="23" t="s">
        <v>9</v>
      </c>
      <c r="BR2" s="23"/>
      <c r="BS2" s="23" t="s">
        <v>8</v>
      </c>
      <c r="BT2" s="23" t="s">
        <v>9</v>
      </c>
      <c r="BU2" s="23"/>
      <c r="BV2" s="24" t="s">
        <v>8</v>
      </c>
      <c r="BW2" s="23" t="s">
        <v>9</v>
      </c>
      <c r="BX2" s="23"/>
      <c r="BY2" s="24" t="s">
        <v>8</v>
      </c>
      <c r="BZ2" s="23" t="s">
        <v>9</v>
      </c>
      <c r="CA2" s="23"/>
      <c r="CB2" s="24" t="s">
        <v>8</v>
      </c>
      <c r="CC2" s="23" t="s">
        <v>9</v>
      </c>
      <c r="CD2" s="23"/>
      <c r="CE2" s="23" t="s">
        <v>8</v>
      </c>
      <c r="CF2" s="23" t="s">
        <v>9</v>
      </c>
      <c r="CG2" s="23"/>
      <c r="CH2" s="23" t="s">
        <v>8</v>
      </c>
      <c r="CI2" s="23" t="s">
        <v>9</v>
      </c>
      <c r="CJ2" s="23"/>
      <c r="CK2" s="23" t="s">
        <v>8</v>
      </c>
      <c r="CL2" s="23" t="s">
        <v>9</v>
      </c>
      <c r="CM2" s="23"/>
      <c r="CN2" s="23" t="s">
        <v>8</v>
      </c>
      <c r="CO2" s="23" t="s">
        <v>9</v>
      </c>
      <c r="CP2" s="23"/>
      <c r="CQ2" s="23" t="s">
        <v>8</v>
      </c>
      <c r="CR2" s="23" t="s">
        <v>9</v>
      </c>
      <c r="CS2" s="25" t="s">
        <v>10</v>
      </c>
      <c r="CT2" s="26" t="s">
        <v>11</v>
      </c>
      <c r="CU2" s="26" t="s">
        <v>8</v>
      </c>
      <c r="CV2" s="26" t="s">
        <v>12</v>
      </c>
      <c r="CW2" s="27" t="s">
        <v>13</v>
      </c>
      <c r="CX2" s="25" t="s">
        <v>14</v>
      </c>
      <c r="CY2" s="28" t="s">
        <v>13</v>
      </c>
      <c r="CZ2" s="17" t="s">
        <v>15</v>
      </c>
      <c r="DA2" s="18"/>
    </row>
    <row r="3" spans="1:105" ht="12.75" thickBot="1" x14ac:dyDescent="0.25">
      <c r="A3" s="29">
        <v>1</v>
      </c>
      <c r="B3" s="30" t="s">
        <v>16</v>
      </c>
      <c r="C3" s="31" t="s">
        <v>17</v>
      </c>
      <c r="D3" s="67" t="s">
        <v>18</v>
      </c>
      <c r="E3" s="68">
        <v>2</v>
      </c>
      <c r="F3" s="67" t="s">
        <v>19</v>
      </c>
      <c r="G3" s="71" t="s">
        <v>18</v>
      </c>
      <c r="H3" s="72">
        <v>3</v>
      </c>
      <c r="I3" s="71" t="s">
        <v>19</v>
      </c>
      <c r="J3" s="74" t="s">
        <v>18</v>
      </c>
      <c r="K3" s="75">
        <v>3</v>
      </c>
      <c r="L3" s="74" t="s">
        <v>19</v>
      </c>
      <c r="M3" s="33" t="s">
        <v>18</v>
      </c>
      <c r="N3" s="34">
        <v>1</v>
      </c>
      <c r="O3" s="32"/>
      <c r="P3" s="33" t="s">
        <v>18</v>
      </c>
      <c r="Q3" s="34">
        <v>3</v>
      </c>
      <c r="R3" s="32"/>
      <c r="S3" s="34" t="s">
        <v>18</v>
      </c>
      <c r="T3" s="34">
        <v>3</v>
      </c>
      <c r="U3" s="32" t="s">
        <v>20</v>
      </c>
      <c r="V3" s="34" t="s">
        <v>18</v>
      </c>
      <c r="W3" s="34"/>
      <c r="X3" s="32"/>
      <c r="Y3" s="34" t="s">
        <v>18</v>
      </c>
      <c r="Z3" s="34"/>
      <c r="AA3" s="32"/>
      <c r="AB3" s="34" t="s">
        <v>18</v>
      </c>
      <c r="AC3" s="34"/>
      <c r="AD3" s="32"/>
      <c r="AE3" s="34" t="s">
        <v>18</v>
      </c>
      <c r="AF3" s="34"/>
      <c r="AG3" s="32"/>
      <c r="AH3" s="34" t="s">
        <v>18</v>
      </c>
      <c r="AI3" s="34">
        <v>3</v>
      </c>
      <c r="AJ3" s="32"/>
      <c r="AK3" s="34" t="s">
        <v>18</v>
      </c>
      <c r="AL3" s="35">
        <v>1</v>
      </c>
      <c r="AM3" s="32"/>
      <c r="AN3" s="34" t="s">
        <v>18</v>
      </c>
      <c r="AO3" s="34">
        <v>2</v>
      </c>
      <c r="AP3" s="32"/>
      <c r="AQ3" s="33" t="s">
        <v>18</v>
      </c>
      <c r="AR3" s="33"/>
      <c r="AS3" s="32"/>
      <c r="AT3" s="33" t="s">
        <v>18</v>
      </c>
      <c r="AU3" s="33"/>
      <c r="AV3" s="32"/>
      <c r="AW3" s="33" t="s">
        <v>18</v>
      </c>
      <c r="AX3" s="33">
        <v>1</v>
      </c>
      <c r="AY3" s="33"/>
      <c r="AZ3" s="34" t="s">
        <v>18</v>
      </c>
      <c r="BA3" s="34">
        <v>1</v>
      </c>
      <c r="BB3" s="34"/>
      <c r="BC3" s="34" t="s">
        <v>18</v>
      </c>
      <c r="BD3" s="34">
        <v>1</v>
      </c>
      <c r="BE3" s="33"/>
      <c r="BF3" s="36" t="s">
        <v>18</v>
      </c>
      <c r="BG3" s="36">
        <v>1</v>
      </c>
      <c r="BH3" s="62"/>
      <c r="BI3" s="36" t="s">
        <v>18</v>
      </c>
      <c r="BJ3" s="36">
        <v>1</v>
      </c>
      <c r="BK3" s="62"/>
      <c r="BL3" s="36" t="s">
        <v>18</v>
      </c>
      <c r="BM3" s="36"/>
      <c r="BN3" s="62"/>
      <c r="BO3" s="34" t="s">
        <v>18</v>
      </c>
      <c r="BP3" s="34">
        <v>1</v>
      </c>
      <c r="BQ3" s="33"/>
      <c r="BR3" s="34" t="s">
        <v>18</v>
      </c>
      <c r="BS3" s="34">
        <v>1</v>
      </c>
      <c r="BT3" s="33"/>
      <c r="BU3" s="36" t="s">
        <v>18</v>
      </c>
      <c r="BV3" s="36">
        <v>1</v>
      </c>
      <c r="BW3" s="62"/>
      <c r="BX3" s="34" t="s">
        <v>18</v>
      </c>
      <c r="BY3" s="34">
        <v>2</v>
      </c>
      <c r="BZ3" s="34"/>
      <c r="CA3" s="34" t="s">
        <v>18</v>
      </c>
      <c r="CB3" s="34"/>
      <c r="CC3" s="34"/>
      <c r="CD3" s="34" t="s">
        <v>18</v>
      </c>
      <c r="CE3" s="33">
        <v>2</v>
      </c>
      <c r="CF3" s="34"/>
      <c r="CG3" s="34" t="s">
        <v>18</v>
      </c>
      <c r="CH3" s="34"/>
      <c r="CI3" s="33"/>
      <c r="CJ3" s="34" t="s">
        <v>18</v>
      </c>
      <c r="CK3" s="34">
        <v>1</v>
      </c>
      <c r="CL3" s="33"/>
      <c r="CM3" s="34" t="s">
        <v>18</v>
      </c>
      <c r="CN3" s="34">
        <v>1</v>
      </c>
      <c r="CO3" s="34" t="s">
        <v>21</v>
      </c>
      <c r="CP3" s="34" t="s">
        <v>18</v>
      </c>
      <c r="CQ3" s="34">
        <v>2</v>
      </c>
      <c r="CR3" s="34" t="s">
        <v>21</v>
      </c>
      <c r="CS3" s="37">
        <f t="shared" ref="CS3:CS20" si="0">COUNTIF(C3:CR3,"h")</f>
        <v>0</v>
      </c>
      <c r="CT3" s="37">
        <f t="shared" ref="CT3:CT20" si="1">COUNTIF(D3:CR3,"P")</f>
        <v>31</v>
      </c>
      <c r="CU3" s="37">
        <f t="shared" ref="CU3:CU20" si="2">SUM(D3:CR3)</f>
        <v>37</v>
      </c>
      <c r="CV3" s="37">
        <v>900</v>
      </c>
      <c r="CW3" s="37">
        <f t="shared" ref="CW3:CW20" si="3">(CT3)*CV3</f>
        <v>27900</v>
      </c>
      <c r="CX3" s="37">
        <f t="shared" ref="CX3:CX20" si="4">(CV3/8*CU3)</f>
        <v>4162.5</v>
      </c>
      <c r="CY3" s="37">
        <f>CW3+CX3</f>
        <v>32062.5</v>
      </c>
      <c r="CZ3" s="38"/>
      <c r="DA3" s="13" t="s">
        <v>22</v>
      </c>
    </row>
    <row r="4" spans="1:105" s="43" customFormat="1" ht="12.75" thickBot="1" x14ac:dyDescent="0.25">
      <c r="A4" s="29">
        <v>2</v>
      </c>
      <c r="B4" s="30" t="s">
        <v>23</v>
      </c>
      <c r="C4" s="39" t="s">
        <v>24</v>
      </c>
      <c r="D4" s="67" t="s">
        <v>18</v>
      </c>
      <c r="E4" s="68">
        <v>2</v>
      </c>
      <c r="F4" s="67" t="s">
        <v>19</v>
      </c>
      <c r="G4" s="71" t="s">
        <v>18</v>
      </c>
      <c r="H4" s="72">
        <v>2</v>
      </c>
      <c r="I4" s="71" t="s">
        <v>19</v>
      </c>
      <c r="J4" s="76" t="s">
        <v>18</v>
      </c>
      <c r="K4" s="76">
        <v>3</v>
      </c>
      <c r="L4" s="77" t="s">
        <v>21</v>
      </c>
      <c r="M4" s="34" t="s">
        <v>18</v>
      </c>
      <c r="N4" s="34">
        <v>2</v>
      </c>
      <c r="O4" s="32" t="s">
        <v>21</v>
      </c>
      <c r="P4" s="34" t="s">
        <v>18</v>
      </c>
      <c r="Q4" s="34">
        <v>3</v>
      </c>
      <c r="R4" s="32" t="s">
        <v>25</v>
      </c>
      <c r="S4" s="34" t="s">
        <v>18</v>
      </c>
      <c r="T4" s="34">
        <v>3</v>
      </c>
      <c r="U4" s="32"/>
      <c r="V4" s="34" t="s">
        <v>18</v>
      </c>
      <c r="W4" s="34"/>
      <c r="X4" s="34"/>
      <c r="Y4" s="34" t="s">
        <v>18</v>
      </c>
      <c r="Z4" s="34">
        <v>2</v>
      </c>
      <c r="AA4" s="34"/>
      <c r="AB4" s="34" t="s">
        <v>18</v>
      </c>
      <c r="AC4" s="34">
        <v>2</v>
      </c>
      <c r="AD4" s="34"/>
      <c r="AE4" s="34" t="s">
        <v>18</v>
      </c>
      <c r="AF4" s="34">
        <v>2</v>
      </c>
      <c r="AG4" s="32"/>
      <c r="AH4" s="34" t="s">
        <v>18</v>
      </c>
      <c r="AI4" s="34">
        <v>3</v>
      </c>
      <c r="AJ4" s="32"/>
      <c r="AK4" s="34" t="s">
        <v>26</v>
      </c>
      <c r="AL4" s="33"/>
      <c r="AM4" s="32" t="s">
        <v>27</v>
      </c>
      <c r="AN4" s="34" t="s">
        <v>18</v>
      </c>
      <c r="AO4" s="33"/>
      <c r="AP4" s="32"/>
      <c r="AQ4" s="34" t="s">
        <v>18</v>
      </c>
      <c r="AR4" s="34"/>
      <c r="AS4" s="32"/>
      <c r="AT4" s="34" t="s">
        <v>18</v>
      </c>
      <c r="AU4" s="34"/>
      <c r="AV4" s="32"/>
      <c r="AW4" s="34" t="s">
        <v>18</v>
      </c>
      <c r="AX4" s="34">
        <v>3</v>
      </c>
      <c r="AY4" s="34"/>
      <c r="AZ4" s="34" t="s">
        <v>18</v>
      </c>
      <c r="BA4" s="34">
        <v>2</v>
      </c>
      <c r="BB4" s="34"/>
      <c r="BC4" s="34" t="s">
        <v>18</v>
      </c>
      <c r="BD4" s="34">
        <v>2</v>
      </c>
      <c r="BE4" s="32"/>
      <c r="BF4" s="36" t="s">
        <v>18</v>
      </c>
      <c r="BG4" s="36">
        <v>1</v>
      </c>
      <c r="BH4" s="41" t="s">
        <v>28</v>
      </c>
      <c r="BI4" s="36" t="s">
        <v>18</v>
      </c>
      <c r="BJ4" s="36">
        <v>2</v>
      </c>
      <c r="BK4" s="41"/>
      <c r="BL4" s="36" t="s">
        <v>18</v>
      </c>
      <c r="BM4" s="36">
        <v>1</v>
      </c>
      <c r="BN4" s="41" t="s">
        <v>20</v>
      </c>
      <c r="BO4" s="34" t="s">
        <v>29</v>
      </c>
      <c r="BP4" s="34"/>
      <c r="BQ4" s="33"/>
      <c r="BR4" s="34" t="s">
        <v>18</v>
      </c>
      <c r="BS4" s="34">
        <v>1</v>
      </c>
      <c r="BT4" s="32" t="s">
        <v>76</v>
      </c>
      <c r="BU4" s="36" t="s">
        <v>18</v>
      </c>
      <c r="BV4" s="36">
        <v>1</v>
      </c>
      <c r="BW4" s="41" t="s">
        <v>20</v>
      </c>
      <c r="BX4" s="34" t="s">
        <v>18</v>
      </c>
      <c r="BY4" s="34">
        <v>2</v>
      </c>
      <c r="BZ4" s="34" t="s">
        <v>20</v>
      </c>
      <c r="CA4" s="34" t="s">
        <v>18</v>
      </c>
      <c r="CB4" s="34">
        <v>2</v>
      </c>
      <c r="CC4" s="34" t="s">
        <v>20</v>
      </c>
      <c r="CD4" s="34" t="s">
        <v>18</v>
      </c>
      <c r="CE4" s="33">
        <v>2</v>
      </c>
      <c r="CF4" s="34" t="s">
        <v>25</v>
      </c>
      <c r="CG4" s="34" t="s">
        <v>18</v>
      </c>
      <c r="CH4" s="34"/>
      <c r="CI4" s="33"/>
      <c r="CJ4" s="34" t="s">
        <v>18</v>
      </c>
      <c r="CK4" s="34">
        <v>3</v>
      </c>
      <c r="CL4" s="33"/>
      <c r="CM4" s="34" t="s">
        <v>18</v>
      </c>
      <c r="CN4" s="34">
        <v>1</v>
      </c>
      <c r="CO4" s="34" t="s">
        <v>20</v>
      </c>
      <c r="CP4" s="34" t="s">
        <v>18</v>
      </c>
      <c r="CQ4" s="34">
        <v>2</v>
      </c>
      <c r="CR4" s="34" t="s">
        <v>20</v>
      </c>
      <c r="CS4" s="37">
        <f t="shared" si="0"/>
        <v>0</v>
      </c>
      <c r="CT4" s="37">
        <f t="shared" si="1"/>
        <v>30</v>
      </c>
      <c r="CU4" s="37">
        <f t="shared" si="2"/>
        <v>49</v>
      </c>
      <c r="CV4" s="42">
        <v>700</v>
      </c>
      <c r="CW4" s="37">
        <f t="shared" si="3"/>
        <v>21000</v>
      </c>
      <c r="CX4" s="37">
        <f t="shared" si="4"/>
        <v>4287.5</v>
      </c>
      <c r="CY4" s="37">
        <f t="shared" ref="CY4:CY20" si="5">CW4+CX4</f>
        <v>25287.5</v>
      </c>
      <c r="CZ4" s="17"/>
      <c r="DA4" s="18" t="s">
        <v>22</v>
      </c>
    </row>
    <row r="5" spans="1:105" s="43" customFormat="1" ht="36.75" thickBot="1" x14ac:dyDescent="0.25">
      <c r="A5" s="29">
        <v>3</v>
      </c>
      <c r="B5" s="30" t="s">
        <v>30</v>
      </c>
      <c r="C5" s="39" t="s">
        <v>31</v>
      </c>
      <c r="D5" s="67" t="s">
        <v>18</v>
      </c>
      <c r="E5" s="68">
        <v>1</v>
      </c>
      <c r="F5" s="67" t="s">
        <v>19</v>
      </c>
      <c r="G5" s="71" t="s">
        <v>18</v>
      </c>
      <c r="H5" s="72">
        <v>1</v>
      </c>
      <c r="I5" s="71" t="s">
        <v>32</v>
      </c>
      <c r="J5" s="74" t="s">
        <v>18</v>
      </c>
      <c r="K5" s="75"/>
      <c r="L5" s="74" t="s">
        <v>19</v>
      </c>
      <c r="M5" s="34" t="s">
        <v>29</v>
      </c>
      <c r="N5" s="34"/>
      <c r="O5" s="32"/>
      <c r="P5" s="34" t="s">
        <v>18</v>
      </c>
      <c r="Q5" s="34"/>
      <c r="R5" s="32"/>
      <c r="S5" s="34" t="s">
        <v>18</v>
      </c>
      <c r="T5" s="34"/>
      <c r="U5" s="32"/>
      <c r="V5" s="34" t="s">
        <v>18</v>
      </c>
      <c r="W5" s="34"/>
      <c r="X5" s="32"/>
      <c r="Y5" s="34" t="s">
        <v>18</v>
      </c>
      <c r="Z5" s="34">
        <v>1</v>
      </c>
      <c r="AA5" s="32"/>
      <c r="AB5" s="34" t="s">
        <v>18</v>
      </c>
      <c r="AC5" s="34"/>
      <c r="AD5" s="32"/>
      <c r="AE5" s="34" t="s">
        <v>18</v>
      </c>
      <c r="AF5" s="34">
        <v>5</v>
      </c>
      <c r="AG5" s="32"/>
      <c r="AH5" s="34" t="s">
        <v>18</v>
      </c>
      <c r="AI5" s="34">
        <v>3</v>
      </c>
      <c r="AJ5" s="32"/>
      <c r="AK5" s="34" t="s">
        <v>29</v>
      </c>
      <c r="AL5" s="35"/>
      <c r="AM5" s="32"/>
      <c r="AN5" s="34" t="s">
        <v>18</v>
      </c>
      <c r="AO5" s="34"/>
      <c r="AP5" s="32"/>
      <c r="AQ5" s="33" t="s">
        <v>18</v>
      </c>
      <c r="AR5" s="33"/>
      <c r="AS5" s="32"/>
      <c r="AT5" s="33" t="s">
        <v>18</v>
      </c>
      <c r="AU5" s="33"/>
      <c r="AV5" s="32"/>
      <c r="AW5" s="33" t="s">
        <v>18</v>
      </c>
      <c r="AX5" s="33"/>
      <c r="AY5" s="33"/>
      <c r="AZ5" s="34" t="s">
        <v>29</v>
      </c>
      <c r="BA5" s="34">
        <v>1</v>
      </c>
      <c r="BB5" s="34"/>
      <c r="BC5" s="34" t="s">
        <v>18</v>
      </c>
      <c r="BD5" s="34"/>
      <c r="BE5" s="33"/>
      <c r="BF5" s="36" t="s">
        <v>18</v>
      </c>
      <c r="BG5" s="36"/>
      <c r="BH5" s="62"/>
      <c r="BI5" s="36" t="s">
        <v>18</v>
      </c>
      <c r="BJ5" s="36">
        <v>3</v>
      </c>
      <c r="BK5" s="62"/>
      <c r="BL5" s="36" t="s">
        <v>18</v>
      </c>
      <c r="BM5" s="36">
        <v>2</v>
      </c>
      <c r="BN5" s="62"/>
      <c r="BO5" s="34" t="s">
        <v>26</v>
      </c>
      <c r="BP5" s="34"/>
      <c r="BQ5" s="33" t="s">
        <v>77</v>
      </c>
      <c r="BR5" s="34" t="s">
        <v>18</v>
      </c>
      <c r="BS5" s="34"/>
      <c r="BT5" s="34" t="s">
        <v>76</v>
      </c>
      <c r="BU5" s="36" t="s">
        <v>29</v>
      </c>
      <c r="BV5" s="36"/>
      <c r="BW5" s="36"/>
      <c r="BX5" s="34" t="s">
        <v>18</v>
      </c>
      <c r="BY5" s="34"/>
      <c r="BZ5" s="63" t="s">
        <v>33</v>
      </c>
      <c r="CA5" s="34" t="s">
        <v>18</v>
      </c>
      <c r="CB5" s="34">
        <v>2</v>
      </c>
      <c r="CC5" s="34"/>
      <c r="CD5" s="34" t="s">
        <v>18</v>
      </c>
      <c r="CE5" s="33"/>
      <c r="CF5" s="34"/>
      <c r="CG5" s="34" t="s">
        <v>18</v>
      </c>
      <c r="CH5" s="34"/>
      <c r="CI5" s="33"/>
      <c r="CJ5" s="34" t="s">
        <v>18</v>
      </c>
      <c r="CK5" s="34"/>
      <c r="CL5" s="33"/>
      <c r="CM5" s="34" t="s">
        <v>18</v>
      </c>
      <c r="CN5" s="34"/>
      <c r="CO5" s="34"/>
      <c r="CP5" s="34" t="s">
        <v>18</v>
      </c>
      <c r="CQ5" s="34"/>
      <c r="CR5" s="34"/>
      <c r="CS5" s="37">
        <f t="shared" si="0"/>
        <v>0</v>
      </c>
      <c r="CT5" s="37">
        <f t="shared" si="1"/>
        <v>27</v>
      </c>
      <c r="CU5" s="44">
        <f t="shared" si="2"/>
        <v>19</v>
      </c>
      <c r="CV5" s="42">
        <v>600</v>
      </c>
      <c r="CW5" s="37">
        <f t="shared" si="3"/>
        <v>16200</v>
      </c>
      <c r="CX5" s="37">
        <f t="shared" si="4"/>
        <v>1425</v>
      </c>
      <c r="CY5" s="37">
        <f t="shared" si="5"/>
        <v>17625</v>
      </c>
      <c r="CZ5" s="45"/>
      <c r="DA5" s="18" t="s">
        <v>22</v>
      </c>
    </row>
    <row r="6" spans="1:105" s="43" customFormat="1" ht="12.75" thickBot="1" x14ac:dyDescent="0.25">
      <c r="A6" s="29">
        <v>4</v>
      </c>
      <c r="B6" s="30" t="s">
        <v>34</v>
      </c>
      <c r="C6" s="39" t="s">
        <v>24</v>
      </c>
      <c r="D6" s="67" t="s">
        <v>18</v>
      </c>
      <c r="E6" s="68">
        <v>2</v>
      </c>
      <c r="F6" s="67" t="s">
        <v>19</v>
      </c>
      <c r="G6" s="71" t="s">
        <v>18</v>
      </c>
      <c r="H6" s="72">
        <v>3</v>
      </c>
      <c r="I6" s="71" t="s">
        <v>19</v>
      </c>
      <c r="J6" s="74" t="s">
        <v>18</v>
      </c>
      <c r="K6" s="75">
        <v>3</v>
      </c>
      <c r="L6" s="74" t="s">
        <v>19</v>
      </c>
      <c r="M6" s="34" t="s">
        <v>18</v>
      </c>
      <c r="N6" s="34">
        <v>1</v>
      </c>
      <c r="O6" s="32"/>
      <c r="P6" s="34" t="s">
        <v>18</v>
      </c>
      <c r="Q6" s="34">
        <v>3</v>
      </c>
      <c r="R6" s="32"/>
      <c r="S6" s="34" t="s">
        <v>18</v>
      </c>
      <c r="T6" s="34">
        <v>3</v>
      </c>
      <c r="U6" s="32"/>
      <c r="V6" s="34" t="s">
        <v>18</v>
      </c>
      <c r="W6" s="34">
        <v>1</v>
      </c>
      <c r="X6" s="32" t="s">
        <v>25</v>
      </c>
      <c r="Y6" s="34" t="s">
        <v>18</v>
      </c>
      <c r="Z6" s="34"/>
      <c r="AA6" s="32"/>
      <c r="AB6" s="34" t="s">
        <v>18</v>
      </c>
      <c r="AC6" s="34"/>
      <c r="AD6" s="32"/>
      <c r="AE6" s="34" t="s">
        <v>18</v>
      </c>
      <c r="AF6" s="34"/>
      <c r="AG6" s="32"/>
      <c r="AH6" s="34" t="s">
        <v>18</v>
      </c>
      <c r="AI6" s="34">
        <v>3</v>
      </c>
      <c r="AJ6" s="32"/>
      <c r="AK6" s="34" t="s">
        <v>18</v>
      </c>
      <c r="AL6" s="35">
        <v>1</v>
      </c>
      <c r="AM6" s="32"/>
      <c r="AN6" s="34" t="s">
        <v>18</v>
      </c>
      <c r="AO6" s="34">
        <v>2</v>
      </c>
      <c r="AP6" s="32"/>
      <c r="AQ6" s="33" t="s">
        <v>18</v>
      </c>
      <c r="AR6" s="33"/>
      <c r="AS6" s="32"/>
      <c r="AT6" s="33" t="s">
        <v>18</v>
      </c>
      <c r="AU6" s="33"/>
      <c r="AV6" s="32"/>
      <c r="AW6" s="33" t="s">
        <v>18</v>
      </c>
      <c r="AX6" s="33">
        <v>1</v>
      </c>
      <c r="AY6" s="33"/>
      <c r="AZ6" s="34" t="s">
        <v>29</v>
      </c>
      <c r="BA6" s="34"/>
      <c r="BB6" s="34"/>
      <c r="BC6" s="34" t="s">
        <v>29</v>
      </c>
      <c r="BD6" s="34"/>
      <c r="BE6" s="33"/>
      <c r="BF6" s="36" t="s">
        <v>18</v>
      </c>
      <c r="BG6" s="36">
        <v>1</v>
      </c>
      <c r="BH6" s="62"/>
      <c r="BI6" s="36" t="s">
        <v>18</v>
      </c>
      <c r="BJ6" s="36">
        <v>1</v>
      </c>
      <c r="BK6" s="62"/>
      <c r="BL6" s="36" t="s">
        <v>18</v>
      </c>
      <c r="BM6" s="36"/>
      <c r="BN6" s="62"/>
      <c r="BO6" s="34" t="s">
        <v>18</v>
      </c>
      <c r="BP6" s="34">
        <v>1</v>
      </c>
      <c r="BQ6" s="33"/>
      <c r="BR6" s="34" t="s">
        <v>18</v>
      </c>
      <c r="BS6" s="34">
        <v>1</v>
      </c>
      <c r="BT6" s="34"/>
      <c r="BU6" s="36" t="s">
        <v>18</v>
      </c>
      <c r="BV6" s="36">
        <v>1</v>
      </c>
      <c r="BW6" s="36"/>
      <c r="BX6" s="34" t="s">
        <v>18</v>
      </c>
      <c r="BY6" s="34">
        <v>1</v>
      </c>
      <c r="BZ6" s="34"/>
      <c r="CA6" s="34" t="s">
        <v>18</v>
      </c>
      <c r="CB6" s="34">
        <v>1</v>
      </c>
      <c r="CC6" s="34"/>
      <c r="CD6" s="34" t="s">
        <v>18</v>
      </c>
      <c r="CE6" s="33">
        <v>5</v>
      </c>
      <c r="CF6" s="34"/>
      <c r="CG6" s="34" t="s">
        <v>18</v>
      </c>
      <c r="CH6" s="34"/>
      <c r="CI6" s="33"/>
      <c r="CJ6" s="34" t="s">
        <v>18</v>
      </c>
      <c r="CK6" s="34"/>
      <c r="CL6" s="33"/>
      <c r="CM6" s="34" t="s">
        <v>18</v>
      </c>
      <c r="CN6" s="34"/>
      <c r="CO6" s="34"/>
      <c r="CP6" s="34" t="s">
        <v>18</v>
      </c>
      <c r="CQ6" s="34"/>
      <c r="CR6" s="34"/>
      <c r="CS6" s="37">
        <f t="shared" si="0"/>
        <v>0</v>
      </c>
      <c r="CT6" s="37">
        <f t="shared" si="1"/>
        <v>29</v>
      </c>
      <c r="CU6" s="37">
        <f t="shared" si="2"/>
        <v>35</v>
      </c>
      <c r="CV6" s="42">
        <v>800</v>
      </c>
      <c r="CW6" s="37">
        <f t="shared" si="3"/>
        <v>23200</v>
      </c>
      <c r="CX6" s="37">
        <f t="shared" si="4"/>
        <v>3500</v>
      </c>
      <c r="CY6" s="37">
        <f t="shared" si="5"/>
        <v>26700</v>
      </c>
      <c r="CZ6" s="46"/>
      <c r="DA6" s="18" t="s">
        <v>22</v>
      </c>
    </row>
    <row r="7" spans="1:105" s="43" customFormat="1" ht="12.75" thickBot="1" x14ac:dyDescent="0.25">
      <c r="A7" s="29">
        <v>5</v>
      </c>
      <c r="B7" s="30" t="s">
        <v>35</v>
      </c>
      <c r="C7" s="39" t="s">
        <v>24</v>
      </c>
      <c r="D7" s="67" t="s">
        <v>18</v>
      </c>
      <c r="E7" s="68">
        <v>1</v>
      </c>
      <c r="F7" s="67" t="s">
        <v>19</v>
      </c>
      <c r="G7" s="71" t="s">
        <v>18</v>
      </c>
      <c r="H7" s="72">
        <v>2</v>
      </c>
      <c r="I7" s="71" t="s">
        <v>19</v>
      </c>
      <c r="J7" s="74" t="s">
        <v>18</v>
      </c>
      <c r="K7" s="75"/>
      <c r="L7" s="74" t="s">
        <v>19</v>
      </c>
      <c r="M7" s="34" t="s">
        <v>18</v>
      </c>
      <c r="N7" s="34"/>
      <c r="O7" s="32"/>
      <c r="P7" s="34" t="s">
        <v>18</v>
      </c>
      <c r="Q7" s="34"/>
      <c r="R7" s="32"/>
      <c r="S7" s="34" t="s">
        <v>18</v>
      </c>
      <c r="T7" s="34"/>
      <c r="U7" s="34"/>
      <c r="V7" s="34" t="s">
        <v>18</v>
      </c>
      <c r="W7" s="34"/>
      <c r="X7" s="32"/>
      <c r="Y7" s="34" t="s">
        <v>18</v>
      </c>
      <c r="Z7" s="34"/>
      <c r="AA7" s="32"/>
      <c r="AB7" s="34" t="s">
        <v>18</v>
      </c>
      <c r="AC7" s="34"/>
      <c r="AD7" s="32"/>
      <c r="AE7" s="34" t="s">
        <v>29</v>
      </c>
      <c r="AF7" s="34"/>
      <c r="AG7" s="32"/>
      <c r="AH7" s="34" t="s">
        <v>26</v>
      </c>
      <c r="AI7" s="34">
        <v>1</v>
      </c>
      <c r="AJ7" s="32" t="s">
        <v>36</v>
      </c>
      <c r="AK7" s="34" t="s">
        <v>26</v>
      </c>
      <c r="AL7" s="35">
        <v>1</v>
      </c>
      <c r="AM7" s="32" t="s">
        <v>37</v>
      </c>
      <c r="AN7" s="34" t="s">
        <v>18</v>
      </c>
      <c r="AO7" s="34">
        <v>1</v>
      </c>
      <c r="AP7" s="32" t="s">
        <v>33</v>
      </c>
      <c r="AQ7" s="33" t="s">
        <v>18</v>
      </c>
      <c r="AR7" s="33"/>
      <c r="AS7" s="32"/>
      <c r="AT7" s="33" t="s">
        <v>29</v>
      </c>
      <c r="AU7" s="33"/>
      <c r="AV7" s="32"/>
      <c r="AW7" s="33" t="s">
        <v>18</v>
      </c>
      <c r="AX7" s="33">
        <v>1</v>
      </c>
      <c r="AY7" s="33"/>
      <c r="AZ7" s="34" t="s">
        <v>18</v>
      </c>
      <c r="BA7" s="34">
        <v>1</v>
      </c>
      <c r="BB7" s="34" t="s">
        <v>25</v>
      </c>
      <c r="BC7" s="34" t="s">
        <v>18</v>
      </c>
      <c r="BD7" s="34">
        <v>1</v>
      </c>
      <c r="BE7" s="33" t="s">
        <v>28</v>
      </c>
      <c r="BF7" s="36" t="s">
        <v>18</v>
      </c>
      <c r="BG7" s="36">
        <v>1</v>
      </c>
      <c r="BH7" s="62" t="s">
        <v>28</v>
      </c>
      <c r="BI7" s="36" t="s">
        <v>18</v>
      </c>
      <c r="BJ7" s="36">
        <v>1</v>
      </c>
      <c r="BK7" s="62" t="s">
        <v>28</v>
      </c>
      <c r="BL7" s="36" t="s">
        <v>18</v>
      </c>
      <c r="BM7" s="36">
        <v>1</v>
      </c>
      <c r="BN7" s="62" t="s">
        <v>28</v>
      </c>
      <c r="BO7" s="34" t="s">
        <v>26</v>
      </c>
      <c r="BP7" s="34">
        <v>1</v>
      </c>
      <c r="BQ7" s="33" t="s">
        <v>20</v>
      </c>
      <c r="BR7" s="34" t="s">
        <v>18</v>
      </c>
      <c r="BS7" s="34">
        <v>1</v>
      </c>
      <c r="BT7" s="34" t="s">
        <v>76</v>
      </c>
      <c r="BU7" s="34" t="s">
        <v>18</v>
      </c>
      <c r="BV7" s="34">
        <v>1</v>
      </c>
      <c r="BW7" s="34" t="s">
        <v>20</v>
      </c>
      <c r="BX7" s="34" t="s">
        <v>18</v>
      </c>
      <c r="BY7" s="34">
        <v>2</v>
      </c>
      <c r="BZ7" s="34" t="s">
        <v>20</v>
      </c>
      <c r="CA7" s="34" t="s">
        <v>18</v>
      </c>
      <c r="CB7" s="34">
        <v>2</v>
      </c>
      <c r="CC7" s="34" t="s">
        <v>78</v>
      </c>
      <c r="CD7" s="34" t="s">
        <v>18</v>
      </c>
      <c r="CE7" s="33">
        <v>2</v>
      </c>
      <c r="CF7" s="34" t="s">
        <v>25</v>
      </c>
      <c r="CG7" s="34" t="s">
        <v>18</v>
      </c>
      <c r="CH7" s="34"/>
      <c r="CI7" s="33"/>
      <c r="CJ7" s="34" t="s">
        <v>29</v>
      </c>
      <c r="CK7" s="34"/>
      <c r="CL7" s="33"/>
      <c r="CM7" s="34" t="s">
        <v>18</v>
      </c>
      <c r="CN7" s="34">
        <v>1</v>
      </c>
      <c r="CO7" s="34" t="s">
        <v>20</v>
      </c>
      <c r="CP7" s="34" t="s">
        <v>18</v>
      </c>
      <c r="CQ7" s="34">
        <v>2</v>
      </c>
      <c r="CR7" s="34"/>
      <c r="CS7" s="37">
        <f t="shared" si="0"/>
        <v>0</v>
      </c>
      <c r="CT7" s="37">
        <f t="shared" si="1"/>
        <v>28</v>
      </c>
      <c r="CU7" s="37">
        <f t="shared" si="2"/>
        <v>24</v>
      </c>
      <c r="CV7" s="42">
        <v>700</v>
      </c>
      <c r="CW7" s="37">
        <f t="shared" si="3"/>
        <v>19600</v>
      </c>
      <c r="CX7" s="37">
        <f t="shared" si="4"/>
        <v>2100</v>
      </c>
      <c r="CY7" s="37">
        <f t="shared" si="5"/>
        <v>21700</v>
      </c>
      <c r="CZ7" s="45"/>
      <c r="DA7" s="18" t="s">
        <v>22</v>
      </c>
    </row>
    <row r="8" spans="1:105" s="43" customFormat="1" ht="12.75" thickBot="1" x14ac:dyDescent="0.25">
      <c r="A8" s="29">
        <v>6</v>
      </c>
      <c r="B8" s="30" t="s">
        <v>38</v>
      </c>
      <c r="C8" s="39"/>
      <c r="D8" s="67" t="s">
        <v>18</v>
      </c>
      <c r="E8" s="68">
        <v>2</v>
      </c>
      <c r="F8" s="67" t="s">
        <v>19</v>
      </c>
      <c r="G8" s="71" t="s">
        <v>18</v>
      </c>
      <c r="H8" s="72">
        <v>3</v>
      </c>
      <c r="I8" s="71" t="s">
        <v>19</v>
      </c>
      <c r="J8" s="74" t="s">
        <v>18</v>
      </c>
      <c r="K8" s="75">
        <v>3</v>
      </c>
      <c r="L8" s="74" t="s">
        <v>19</v>
      </c>
      <c r="M8" s="34" t="s">
        <v>18</v>
      </c>
      <c r="N8" s="34">
        <v>1</v>
      </c>
      <c r="O8" s="32"/>
      <c r="P8" s="34" t="s">
        <v>18</v>
      </c>
      <c r="Q8" s="34">
        <v>3</v>
      </c>
      <c r="R8" s="32"/>
      <c r="S8" s="34" t="s">
        <v>18</v>
      </c>
      <c r="T8" s="34">
        <v>3</v>
      </c>
      <c r="U8" s="32"/>
      <c r="V8" s="34" t="s">
        <v>18</v>
      </c>
      <c r="W8" s="34"/>
      <c r="X8" s="32" t="s">
        <v>21</v>
      </c>
      <c r="Y8" s="34" t="s">
        <v>18</v>
      </c>
      <c r="Z8" s="34"/>
      <c r="AA8" s="32" t="s">
        <v>25</v>
      </c>
      <c r="AB8" s="34" t="s">
        <v>18</v>
      </c>
      <c r="AC8" s="34"/>
      <c r="AD8" s="32"/>
      <c r="AE8" s="34" t="s">
        <v>18</v>
      </c>
      <c r="AF8" s="34"/>
      <c r="AG8" s="32"/>
      <c r="AH8" s="34" t="s">
        <v>18</v>
      </c>
      <c r="AI8" s="34">
        <v>3</v>
      </c>
      <c r="AJ8" s="32"/>
      <c r="AK8" s="34" t="s">
        <v>18</v>
      </c>
      <c r="AL8" s="35">
        <v>1</v>
      </c>
      <c r="AM8" s="32"/>
      <c r="AN8" s="34" t="s">
        <v>18</v>
      </c>
      <c r="AO8" s="34">
        <v>2</v>
      </c>
      <c r="AP8" s="32"/>
      <c r="AQ8" s="33" t="s">
        <v>18</v>
      </c>
      <c r="AR8" s="33"/>
      <c r="AS8" s="32"/>
      <c r="AT8" s="33" t="s">
        <v>18</v>
      </c>
      <c r="AU8" s="33"/>
      <c r="AV8" s="32"/>
      <c r="AW8" s="33" t="s">
        <v>18</v>
      </c>
      <c r="AX8" s="33">
        <v>1</v>
      </c>
      <c r="AY8" s="33"/>
      <c r="AZ8" s="34" t="s">
        <v>18</v>
      </c>
      <c r="BA8" s="34"/>
      <c r="BB8" s="34"/>
      <c r="BC8" s="34" t="s">
        <v>18</v>
      </c>
      <c r="BD8" s="34"/>
      <c r="BE8" s="33"/>
      <c r="BF8" s="36" t="s">
        <v>18</v>
      </c>
      <c r="BG8" s="36"/>
      <c r="BH8" s="62"/>
      <c r="BI8" s="36" t="s">
        <v>18</v>
      </c>
      <c r="BJ8" s="36">
        <v>1</v>
      </c>
      <c r="BK8" s="62" t="s">
        <v>28</v>
      </c>
      <c r="BL8" s="36" t="s">
        <v>18</v>
      </c>
      <c r="BM8" s="36"/>
      <c r="BN8" s="62"/>
      <c r="BO8" s="34" t="s">
        <v>26</v>
      </c>
      <c r="BP8" s="34">
        <v>1</v>
      </c>
      <c r="BQ8" s="33" t="s">
        <v>79</v>
      </c>
      <c r="BR8" s="34" t="s">
        <v>18</v>
      </c>
      <c r="BS8" s="34">
        <v>1</v>
      </c>
      <c r="BT8" s="34" t="s">
        <v>76</v>
      </c>
      <c r="BU8" s="34" t="s">
        <v>18</v>
      </c>
      <c r="BV8" s="34">
        <v>1</v>
      </c>
      <c r="BW8" s="34" t="s">
        <v>39</v>
      </c>
      <c r="BX8" s="34" t="s">
        <v>29</v>
      </c>
      <c r="BY8" s="34"/>
      <c r="BZ8" s="34"/>
      <c r="CA8" s="34" t="s">
        <v>18</v>
      </c>
      <c r="CB8" s="34">
        <v>2</v>
      </c>
      <c r="CC8" s="34" t="s">
        <v>78</v>
      </c>
      <c r="CD8" s="34" t="s">
        <v>18</v>
      </c>
      <c r="CE8" s="33">
        <v>2</v>
      </c>
      <c r="CF8" s="34" t="s">
        <v>25</v>
      </c>
      <c r="CG8" s="34" t="s">
        <v>29</v>
      </c>
      <c r="CH8" s="34"/>
      <c r="CI8" s="33"/>
      <c r="CJ8" s="34" t="s">
        <v>29</v>
      </c>
      <c r="CK8" s="34"/>
      <c r="CL8" s="33"/>
      <c r="CM8" s="34" t="s">
        <v>18</v>
      </c>
      <c r="CN8" s="34">
        <v>1</v>
      </c>
      <c r="CO8" s="64" t="s">
        <v>21</v>
      </c>
      <c r="CP8" s="64" t="s">
        <v>18</v>
      </c>
      <c r="CQ8" s="64">
        <v>2</v>
      </c>
      <c r="CR8" s="64" t="s">
        <v>21</v>
      </c>
      <c r="CS8" s="47">
        <f t="shared" si="0"/>
        <v>0</v>
      </c>
      <c r="CT8" s="47">
        <f t="shared" si="1"/>
        <v>28</v>
      </c>
      <c r="CU8" s="47">
        <f t="shared" si="2"/>
        <v>33</v>
      </c>
      <c r="CV8" s="48">
        <v>700</v>
      </c>
      <c r="CW8" s="47">
        <f t="shared" si="3"/>
        <v>19600</v>
      </c>
      <c r="CX8" s="47">
        <f t="shared" si="4"/>
        <v>2887.5</v>
      </c>
      <c r="CY8" s="47">
        <f t="shared" si="5"/>
        <v>22487.5</v>
      </c>
      <c r="CZ8" s="45"/>
      <c r="DA8" s="18" t="s">
        <v>22</v>
      </c>
    </row>
    <row r="9" spans="1:105" s="43" customFormat="1" ht="12.75" thickBot="1" x14ac:dyDescent="0.25">
      <c r="A9" s="29">
        <v>7</v>
      </c>
      <c r="B9" s="30" t="s">
        <v>40</v>
      </c>
      <c r="C9" s="39" t="s">
        <v>24</v>
      </c>
      <c r="D9" s="67" t="s">
        <v>18</v>
      </c>
      <c r="E9" s="68">
        <v>2</v>
      </c>
      <c r="F9" s="67" t="s">
        <v>19</v>
      </c>
      <c r="G9" s="71" t="s">
        <v>18</v>
      </c>
      <c r="H9" s="72">
        <v>2</v>
      </c>
      <c r="I9" s="71" t="s">
        <v>19</v>
      </c>
      <c r="J9" s="74" t="s">
        <v>18</v>
      </c>
      <c r="K9" s="75">
        <v>3</v>
      </c>
      <c r="L9" s="74" t="s">
        <v>19</v>
      </c>
      <c r="M9" s="32" t="s">
        <v>18</v>
      </c>
      <c r="N9" s="33">
        <v>2</v>
      </c>
      <c r="O9" s="32"/>
      <c r="P9" s="34" t="s">
        <v>29</v>
      </c>
      <c r="Q9" s="34"/>
      <c r="R9" s="32"/>
      <c r="S9" s="34" t="s">
        <v>18</v>
      </c>
      <c r="T9" s="34">
        <v>1</v>
      </c>
      <c r="U9" s="32"/>
      <c r="V9" s="34" t="s">
        <v>18</v>
      </c>
      <c r="W9" s="34"/>
      <c r="X9" s="32"/>
      <c r="Y9" s="34" t="s">
        <v>18</v>
      </c>
      <c r="Z9" s="34">
        <v>2</v>
      </c>
      <c r="AA9" s="32"/>
      <c r="AB9" s="34" t="s">
        <v>18</v>
      </c>
      <c r="AC9" s="34"/>
      <c r="AD9" s="32"/>
      <c r="AE9" s="34" t="s">
        <v>18</v>
      </c>
      <c r="AF9" s="34">
        <v>1</v>
      </c>
      <c r="AG9" s="32"/>
      <c r="AH9" s="34" t="s">
        <v>18</v>
      </c>
      <c r="AI9" s="34">
        <v>1</v>
      </c>
      <c r="AJ9" s="32"/>
      <c r="AK9" s="34" t="s">
        <v>26</v>
      </c>
      <c r="AL9" s="35">
        <v>1</v>
      </c>
      <c r="AM9" s="32" t="s">
        <v>37</v>
      </c>
      <c r="AN9" s="34" t="s">
        <v>18</v>
      </c>
      <c r="AO9" s="34">
        <v>2</v>
      </c>
      <c r="AP9" s="32"/>
      <c r="AQ9" s="33" t="s">
        <v>18</v>
      </c>
      <c r="AR9" s="33">
        <v>2</v>
      </c>
      <c r="AS9" s="32"/>
      <c r="AT9" s="33" t="s">
        <v>29</v>
      </c>
      <c r="AU9" s="33"/>
      <c r="AV9" s="32"/>
      <c r="AW9" s="33" t="s">
        <v>18</v>
      </c>
      <c r="AX9" s="33">
        <v>1</v>
      </c>
      <c r="AY9" s="33"/>
      <c r="AZ9" s="34" t="s">
        <v>18</v>
      </c>
      <c r="BA9" s="34"/>
      <c r="BB9" s="34" t="s">
        <v>33</v>
      </c>
      <c r="BC9" s="34" t="s">
        <v>29</v>
      </c>
      <c r="BD9" s="34"/>
      <c r="BE9" s="33"/>
      <c r="BF9" s="36" t="s">
        <v>18</v>
      </c>
      <c r="BG9" s="36"/>
      <c r="BH9" s="62" t="s">
        <v>28</v>
      </c>
      <c r="BI9" s="36" t="s">
        <v>18</v>
      </c>
      <c r="BJ9" s="36"/>
      <c r="BK9" s="62" t="s">
        <v>28</v>
      </c>
      <c r="BL9" s="36" t="s">
        <v>18</v>
      </c>
      <c r="BM9" s="36"/>
      <c r="BN9" s="62" t="s">
        <v>28</v>
      </c>
      <c r="BO9" s="34" t="s">
        <v>18</v>
      </c>
      <c r="BP9" s="34"/>
      <c r="BQ9" s="33" t="s">
        <v>20</v>
      </c>
      <c r="BR9" s="34" t="s">
        <v>80</v>
      </c>
      <c r="BS9" s="34"/>
      <c r="BT9" s="34" t="s">
        <v>20</v>
      </c>
      <c r="BU9" s="34" t="s">
        <v>29</v>
      </c>
      <c r="BV9" s="34"/>
      <c r="BW9" s="34"/>
      <c r="BX9" s="34" t="s">
        <v>29</v>
      </c>
      <c r="BY9" s="34"/>
      <c r="BZ9" s="34"/>
      <c r="CA9" s="34" t="s">
        <v>29</v>
      </c>
      <c r="CB9" s="34"/>
      <c r="CC9" s="34"/>
      <c r="CD9" s="34" t="s">
        <v>18</v>
      </c>
      <c r="CE9" s="33"/>
      <c r="CF9" s="34"/>
      <c r="CG9" s="34" t="s">
        <v>29</v>
      </c>
      <c r="CH9" s="34"/>
      <c r="CI9" s="33"/>
      <c r="CJ9" s="34" t="s">
        <v>18</v>
      </c>
      <c r="CK9" s="34">
        <v>3</v>
      </c>
      <c r="CL9" s="33"/>
      <c r="CM9" s="34" t="s">
        <v>18</v>
      </c>
      <c r="CN9" s="34"/>
      <c r="CO9" s="64"/>
      <c r="CP9" s="64" t="s">
        <v>80</v>
      </c>
      <c r="CQ9" s="64"/>
      <c r="CR9" s="64"/>
      <c r="CS9" s="47">
        <f t="shared" si="0"/>
        <v>2</v>
      </c>
      <c r="CT9" s="47">
        <f t="shared" si="1"/>
        <v>22</v>
      </c>
      <c r="CU9" s="47">
        <f t="shared" si="2"/>
        <v>23</v>
      </c>
      <c r="CV9" s="48">
        <v>850</v>
      </c>
      <c r="CW9" s="47">
        <f t="shared" si="3"/>
        <v>18700</v>
      </c>
      <c r="CX9" s="47">
        <f>(CV9/8*CU9)+850</f>
        <v>3293.75</v>
      </c>
      <c r="CY9" s="47">
        <f t="shared" si="5"/>
        <v>21993.75</v>
      </c>
      <c r="CZ9" s="45"/>
      <c r="DA9" s="18" t="s">
        <v>22</v>
      </c>
    </row>
    <row r="10" spans="1:105" s="43" customFormat="1" ht="12.75" thickBot="1" x14ac:dyDescent="0.25">
      <c r="A10" s="29">
        <v>8</v>
      </c>
      <c r="B10" s="30" t="s">
        <v>41</v>
      </c>
      <c r="C10" s="39"/>
      <c r="D10" s="67" t="s">
        <v>18</v>
      </c>
      <c r="E10" s="68">
        <v>2</v>
      </c>
      <c r="F10" s="67" t="s">
        <v>19</v>
      </c>
      <c r="G10" s="71" t="s">
        <v>18</v>
      </c>
      <c r="H10" s="72">
        <v>3</v>
      </c>
      <c r="I10" s="71" t="s">
        <v>19</v>
      </c>
      <c r="J10" s="74" t="s">
        <v>18</v>
      </c>
      <c r="K10" s="75">
        <v>3</v>
      </c>
      <c r="L10" s="74" t="s">
        <v>19</v>
      </c>
      <c r="M10" s="32" t="s">
        <v>26</v>
      </c>
      <c r="N10" s="33">
        <v>1</v>
      </c>
      <c r="O10" s="32"/>
      <c r="P10" s="34" t="s">
        <v>26</v>
      </c>
      <c r="Q10" s="34">
        <v>3</v>
      </c>
      <c r="R10" s="32"/>
      <c r="S10" s="34" t="s">
        <v>26</v>
      </c>
      <c r="T10" s="34">
        <v>3</v>
      </c>
      <c r="U10" s="32"/>
      <c r="V10" s="34" t="s">
        <v>18</v>
      </c>
      <c r="W10" s="34">
        <v>1</v>
      </c>
      <c r="X10" s="32" t="s">
        <v>21</v>
      </c>
      <c r="Y10" s="34" t="s">
        <v>26</v>
      </c>
      <c r="Z10" s="34"/>
      <c r="AA10" s="32"/>
      <c r="AB10" s="34" t="s">
        <v>26</v>
      </c>
      <c r="AC10" s="34"/>
      <c r="AD10" s="32"/>
      <c r="AE10" s="34" t="s">
        <v>26</v>
      </c>
      <c r="AF10" s="34"/>
      <c r="AG10" s="32"/>
      <c r="AH10" s="34" t="s">
        <v>26</v>
      </c>
      <c r="AI10" s="34">
        <v>3</v>
      </c>
      <c r="AJ10" s="32"/>
      <c r="AK10" s="34" t="s">
        <v>26</v>
      </c>
      <c r="AL10" s="35">
        <v>1</v>
      </c>
      <c r="AM10" s="32"/>
      <c r="AN10" s="34" t="s">
        <v>26</v>
      </c>
      <c r="AO10" s="34">
        <v>2</v>
      </c>
      <c r="AP10" s="32"/>
      <c r="AQ10" s="33" t="s">
        <v>26</v>
      </c>
      <c r="AR10" s="33"/>
      <c r="AS10" s="32"/>
      <c r="AT10" s="33" t="s">
        <v>26</v>
      </c>
      <c r="AU10" s="33"/>
      <c r="AV10" s="32"/>
      <c r="AW10" s="33" t="s">
        <v>26</v>
      </c>
      <c r="AX10" s="33">
        <v>1</v>
      </c>
      <c r="AY10" s="33"/>
      <c r="AZ10" s="34" t="s">
        <v>26</v>
      </c>
      <c r="BA10" s="34">
        <v>1</v>
      </c>
      <c r="BB10" s="34"/>
      <c r="BC10" s="34" t="s">
        <v>26</v>
      </c>
      <c r="BD10" s="34"/>
      <c r="BE10" s="33"/>
      <c r="BF10" s="36" t="s">
        <v>26</v>
      </c>
      <c r="BG10" s="36">
        <v>1</v>
      </c>
      <c r="BH10" s="62"/>
      <c r="BI10" s="36" t="s">
        <v>26</v>
      </c>
      <c r="BJ10" s="36">
        <v>1</v>
      </c>
      <c r="BK10" s="62"/>
      <c r="BL10" s="36" t="s">
        <v>26</v>
      </c>
      <c r="BM10" s="36"/>
      <c r="BN10" s="62"/>
      <c r="BO10" s="34" t="s">
        <v>26</v>
      </c>
      <c r="BP10" s="34">
        <v>1</v>
      </c>
      <c r="BQ10" s="33"/>
      <c r="BR10" s="34" t="s">
        <v>26</v>
      </c>
      <c r="BS10" s="34">
        <v>1</v>
      </c>
      <c r="BT10" s="34"/>
      <c r="BU10" s="34" t="s">
        <v>26</v>
      </c>
      <c r="BV10" s="34">
        <v>1</v>
      </c>
      <c r="BW10" s="34"/>
      <c r="BX10" s="34" t="s">
        <v>26</v>
      </c>
      <c r="BY10" s="34">
        <v>1</v>
      </c>
      <c r="BZ10" s="34"/>
      <c r="CA10" s="34" t="s">
        <v>26</v>
      </c>
      <c r="CB10" s="34">
        <v>1</v>
      </c>
      <c r="CC10" s="34"/>
      <c r="CD10" s="34" t="s">
        <v>26</v>
      </c>
      <c r="CE10" s="33">
        <v>5</v>
      </c>
      <c r="CF10" s="34"/>
      <c r="CG10" s="34" t="s">
        <v>26</v>
      </c>
      <c r="CH10" s="34"/>
      <c r="CI10" s="33"/>
      <c r="CJ10" s="34" t="s">
        <v>26</v>
      </c>
      <c r="CK10" s="34">
        <v>2</v>
      </c>
      <c r="CL10" s="33"/>
      <c r="CM10" s="34" t="s">
        <v>26</v>
      </c>
      <c r="CN10" s="34"/>
      <c r="CO10" s="64"/>
      <c r="CP10" s="64" t="s">
        <v>18</v>
      </c>
      <c r="CQ10" s="64">
        <v>2</v>
      </c>
      <c r="CR10" s="64" t="s">
        <v>21</v>
      </c>
      <c r="CS10" s="47">
        <f t="shared" si="0"/>
        <v>0</v>
      </c>
      <c r="CT10" s="47">
        <f t="shared" si="1"/>
        <v>31</v>
      </c>
      <c r="CU10" s="47">
        <f t="shared" si="2"/>
        <v>40</v>
      </c>
      <c r="CV10" s="48">
        <v>700</v>
      </c>
      <c r="CW10" s="47">
        <f t="shared" si="3"/>
        <v>21700</v>
      </c>
      <c r="CX10" s="47">
        <f t="shared" si="4"/>
        <v>3500</v>
      </c>
      <c r="CY10" s="47">
        <f t="shared" si="5"/>
        <v>25200</v>
      </c>
      <c r="CZ10" s="45"/>
      <c r="DA10" s="18" t="s">
        <v>42</v>
      </c>
    </row>
    <row r="11" spans="1:105" s="43" customFormat="1" ht="12.75" thickBot="1" x14ac:dyDescent="0.25">
      <c r="A11" s="29">
        <v>9</v>
      </c>
      <c r="B11" s="30" t="s">
        <v>43</v>
      </c>
      <c r="C11" s="39" t="s">
        <v>44</v>
      </c>
      <c r="D11" s="67" t="s">
        <v>18</v>
      </c>
      <c r="E11" s="68">
        <v>2</v>
      </c>
      <c r="F11" s="67" t="s">
        <v>19</v>
      </c>
      <c r="G11" s="71" t="s">
        <v>18</v>
      </c>
      <c r="H11" s="72">
        <v>1</v>
      </c>
      <c r="I11" s="71" t="s">
        <v>19</v>
      </c>
      <c r="J11" s="74" t="s">
        <v>18</v>
      </c>
      <c r="K11" s="75"/>
      <c r="L11" s="74" t="s">
        <v>21</v>
      </c>
      <c r="M11" s="32" t="s">
        <v>18</v>
      </c>
      <c r="N11" s="33">
        <v>1</v>
      </c>
      <c r="O11" s="32" t="s">
        <v>20</v>
      </c>
      <c r="P11" s="34" t="s">
        <v>18</v>
      </c>
      <c r="Q11" s="34"/>
      <c r="R11" s="32" t="s">
        <v>25</v>
      </c>
      <c r="S11" s="34" t="s">
        <v>18</v>
      </c>
      <c r="T11" s="34"/>
      <c r="U11" s="32" t="s">
        <v>20</v>
      </c>
      <c r="V11" s="34" t="s">
        <v>18</v>
      </c>
      <c r="W11" s="34"/>
      <c r="X11" s="32"/>
      <c r="Y11" s="34" t="s">
        <v>18</v>
      </c>
      <c r="Z11" s="34"/>
      <c r="AA11" s="32"/>
      <c r="AB11" s="34" t="s">
        <v>18</v>
      </c>
      <c r="AC11" s="34">
        <v>1</v>
      </c>
      <c r="AD11" s="32"/>
      <c r="AE11" s="34" t="s">
        <v>18</v>
      </c>
      <c r="AF11" s="34">
        <v>3</v>
      </c>
      <c r="AG11" s="32"/>
      <c r="AH11" s="34" t="s">
        <v>18</v>
      </c>
      <c r="AI11" s="34">
        <v>3</v>
      </c>
      <c r="AJ11" s="32"/>
      <c r="AK11" s="34" t="s">
        <v>26</v>
      </c>
      <c r="AL11" s="35">
        <v>1</v>
      </c>
      <c r="AM11" s="32" t="s">
        <v>37</v>
      </c>
      <c r="AN11" s="34" t="s">
        <v>18</v>
      </c>
      <c r="AO11" s="34">
        <v>2</v>
      </c>
      <c r="AP11" s="32"/>
      <c r="AQ11" s="33" t="s">
        <v>18</v>
      </c>
      <c r="AR11" s="33"/>
      <c r="AS11" s="32"/>
      <c r="AT11" s="33" t="s">
        <v>18</v>
      </c>
      <c r="AU11" s="33"/>
      <c r="AV11" s="32"/>
      <c r="AW11" s="33" t="s">
        <v>18</v>
      </c>
      <c r="AX11" s="33">
        <v>1</v>
      </c>
      <c r="AY11" s="33"/>
      <c r="AZ11" s="34" t="s">
        <v>18</v>
      </c>
      <c r="BA11" s="34">
        <v>1</v>
      </c>
      <c r="BB11" s="34"/>
      <c r="BC11" s="34" t="s">
        <v>18</v>
      </c>
      <c r="BD11" s="34">
        <v>1</v>
      </c>
      <c r="BE11" s="33"/>
      <c r="BF11" s="36" t="s">
        <v>18</v>
      </c>
      <c r="BG11" s="36">
        <v>1</v>
      </c>
      <c r="BH11" s="62"/>
      <c r="BI11" s="36" t="s">
        <v>18</v>
      </c>
      <c r="BJ11" s="36">
        <v>1</v>
      </c>
      <c r="BK11" s="62"/>
      <c r="BL11" s="36" t="s">
        <v>18</v>
      </c>
      <c r="BM11" s="36"/>
      <c r="BN11" s="62"/>
      <c r="BO11" s="34" t="s">
        <v>18</v>
      </c>
      <c r="BP11" s="34">
        <v>1</v>
      </c>
      <c r="BQ11" s="33"/>
      <c r="BR11" s="34" t="s">
        <v>18</v>
      </c>
      <c r="BS11" s="34">
        <v>4</v>
      </c>
      <c r="BT11" s="34"/>
      <c r="BU11" s="34" t="s">
        <v>18</v>
      </c>
      <c r="BV11" s="34">
        <v>1</v>
      </c>
      <c r="BW11" s="34"/>
      <c r="BX11" s="34" t="s">
        <v>18</v>
      </c>
      <c r="BY11" s="34">
        <v>1</v>
      </c>
      <c r="BZ11" s="34"/>
      <c r="CA11" s="34" t="s">
        <v>18</v>
      </c>
      <c r="CB11" s="34">
        <v>1</v>
      </c>
      <c r="CC11" s="34"/>
      <c r="CD11" s="34" t="s">
        <v>18</v>
      </c>
      <c r="CE11" s="33">
        <v>5</v>
      </c>
      <c r="CF11" s="34"/>
      <c r="CG11" s="34" t="s">
        <v>18</v>
      </c>
      <c r="CH11" s="34"/>
      <c r="CI11" s="33"/>
      <c r="CJ11" s="34" t="s">
        <v>18</v>
      </c>
      <c r="CK11" s="34">
        <v>3</v>
      </c>
      <c r="CL11" s="33"/>
      <c r="CM11" s="34" t="s">
        <v>18</v>
      </c>
      <c r="CN11" s="34">
        <v>1</v>
      </c>
      <c r="CO11" s="64" t="s">
        <v>21</v>
      </c>
      <c r="CP11" s="64" t="s">
        <v>18</v>
      </c>
      <c r="CQ11" s="64">
        <v>1</v>
      </c>
      <c r="CR11" s="64" t="s">
        <v>21</v>
      </c>
      <c r="CS11" s="47">
        <f t="shared" si="0"/>
        <v>0</v>
      </c>
      <c r="CT11" s="47">
        <f t="shared" si="1"/>
        <v>31</v>
      </c>
      <c r="CU11" s="47">
        <f t="shared" si="2"/>
        <v>37</v>
      </c>
      <c r="CV11" s="48">
        <v>600</v>
      </c>
      <c r="CW11" s="47">
        <f t="shared" si="3"/>
        <v>18600</v>
      </c>
      <c r="CX11" s="47">
        <f t="shared" si="4"/>
        <v>2775</v>
      </c>
      <c r="CY11" s="47">
        <f t="shared" si="5"/>
        <v>21375</v>
      </c>
      <c r="CZ11" s="45"/>
      <c r="DA11" s="18" t="s">
        <v>22</v>
      </c>
    </row>
    <row r="12" spans="1:105" s="43" customFormat="1" ht="12.75" thickBot="1" x14ac:dyDescent="0.25">
      <c r="A12" s="29">
        <v>10</v>
      </c>
      <c r="B12" s="30" t="s">
        <v>45</v>
      </c>
      <c r="C12" s="39"/>
      <c r="D12" s="67" t="s">
        <v>18</v>
      </c>
      <c r="E12" s="68">
        <v>3</v>
      </c>
      <c r="F12" s="67" t="s">
        <v>21</v>
      </c>
      <c r="G12" s="71" t="s">
        <v>18</v>
      </c>
      <c r="H12" s="72">
        <v>1</v>
      </c>
      <c r="I12" s="71" t="s">
        <v>20</v>
      </c>
      <c r="J12" s="74" t="s">
        <v>18</v>
      </c>
      <c r="K12" s="75">
        <v>4</v>
      </c>
      <c r="L12" s="74" t="s">
        <v>19</v>
      </c>
      <c r="M12" s="32" t="s">
        <v>18</v>
      </c>
      <c r="N12" s="33">
        <v>2</v>
      </c>
      <c r="O12" s="32" t="s">
        <v>46</v>
      </c>
      <c r="P12" s="34" t="s">
        <v>18</v>
      </c>
      <c r="Q12" s="34">
        <v>2</v>
      </c>
      <c r="R12" s="32" t="s">
        <v>25</v>
      </c>
      <c r="S12" s="34" t="s">
        <v>18</v>
      </c>
      <c r="T12" s="34">
        <v>3</v>
      </c>
      <c r="U12" s="32" t="s">
        <v>20</v>
      </c>
      <c r="V12" s="34" t="s">
        <v>18</v>
      </c>
      <c r="W12" s="34">
        <v>1</v>
      </c>
      <c r="X12" s="32" t="s">
        <v>47</v>
      </c>
      <c r="Y12" s="34" t="s">
        <v>18</v>
      </c>
      <c r="Z12" s="34">
        <v>1</v>
      </c>
      <c r="AA12" s="32" t="s">
        <v>25</v>
      </c>
      <c r="AB12" s="36" t="s">
        <v>18</v>
      </c>
      <c r="AC12" s="36">
        <v>1</v>
      </c>
      <c r="AD12" s="41" t="s">
        <v>48</v>
      </c>
      <c r="AE12" s="34" t="s">
        <v>26</v>
      </c>
      <c r="AF12" s="34">
        <v>1</v>
      </c>
      <c r="AG12" s="32" t="s">
        <v>49</v>
      </c>
      <c r="AH12" s="34" t="s">
        <v>26</v>
      </c>
      <c r="AI12" s="34">
        <v>1</v>
      </c>
      <c r="AJ12" s="32" t="s">
        <v>50</v>
      </c>
      <c r="AK12" s="34" t="s">
        <v>18</v>
      </c>
      <c r="AL12" s="35">
        <v>1</v>
      </c>
      <c r="AM12" s="32"/>
      <c r="AN12" s="34" t="s">
        <v>18</v>
      </c>
      <c r="AO12" s="34">
        <v>1</v>
      </c>
      <c r="AP12" s="32" t="s">
        <v>51</v>
      </c>
      <c r="AQ12" s="33" t="s">
        <v>18</v>
      </c>
      <c r="AR12" s="33">
        <v>1</v>
      </c>
      <c r="AS12" s="32" t="s">
        <v>25</v>
      </c>
      <c r="AT12" s="33" t="s">
        <v>18</v>
      </c>
      <c r="AU12" s="33">
        <v>1</v>
      </c>
      <c r="AV12" s="32" t="s">
        <v>25</v>
      </c>
      <c r="AW12" s="33" t="s">
        <v>18</v>
      </c>
      <c r="AX12" s="33">
        <v>1</v>
      </c>
      <c r="AY12" s="33" t="s">
        <v>25</v>
      </c>
      <c r="AZ12" s="34" t="s">
        <v>18</v>
      </c>
      <c r="BA12" s="34">
        <v>1</v>
      </c>
      <c r="BB12" s="34"/>
      <c r="BC12" s="34" t="s">
        <v>18</v>
      </c>
      <c r="BD12" s="34">
        <v>2</v>
      </c>
      <c r="BE12" s="33" t="s">
        <v>78</v>
      </c>
      <c r="BF12" s="36" t="s">
        <v>18</v>
      </c>
      <c r="BG12" s="36">
        <v>1</v>
      </c>
      <c r="BH12" s="62" t="s">
        <v>28</v>
      </c>
      <c r="BI12" s="36" t="s">
        <v>18</v>
      </c>
      <c r="BJ12" s="36">
        <v>1</v>
      </c>
      <c r="BK12" s="62" t="s">
        <v>81</v>
      </c>
      <c r="BL12" s="36" t="s">
        <v>18</v>
      </c>
      <c r="BM12" s="36">
        <v>1</v>
      </c>
      <c r="BN12" s="62" t="s">
        <v>20</v>
      </c>
      <c r="BO12" s="34" t="s">
        <v>18</v>
      </c>
      <c r="BP12" s="34">
        <v>1</v>
      </c>
      <c r="BQ12" s="33" t="s">
        <v>20</v>
      </c>
      <c r="BR12" s="34" t="s">
        <v>18</v>
      </c>
      <c r="BS12" s="34">
        <v>1</v>
      </c>
      <c r="BT12" s="34" t="s">
        <v>20</v>
      </c>
      <c r="BU12" s="34" t="s">
        <v>18</v>
      </c>
      <c r="BV12" s="34">
        <v>2</v>
      </c>
      <c r="BW12" s="34" t="s">
        <v>39</v>
      </c>
      <c r="BX12" s="34" t="s">
        <v>18</v>
      </c>
      <c r="BY12" s="34">
        <v>2</v>
      </c>
      <c r="BZ12" s="34"/>
      <c r="CA12" s="34" t="s">
        <v>18</v>
      </c>
      <c r="CB12" s="34">
        <v>2</v>
      </c>
      <c r="CC12" s="34" t="s">
        <v>20</v>
      </c>
      <c r="CD12" s="34" t="s">
        <v>18</v>
      </c>
      <c r="CE12" s="33">
        <v>2</v>
      </c>
      <c r="CF12" s="34" t="s">
        <v>25</v>
      </c>
      <c r="CG12" s="34" t="s">
        <v>18</v>
      </c>
      <c r="CH12" s="34"/>
      <c r="CI12" s="33"/>
      <c r="CJ12" s="34" t="s">
        <v>18</v>
      </c>
      <c r="CK12" s="34">
        <v>3</v>
      </c>
      <c r="CL12" s="33" t="s">
        <v>25</v>
      </c>
      <c r="CM12" s="34" t="s">
        <v>18</v>
      </c>
      <c r="CN12" s="34">
        <v>1</v>
      </c>
      <c r="CO12" s="64" t="s">
        <v>20</v>
      </c>
      <c r="CP12" s="64" t="s">
        <v>18</v>
      </c>
      <c r="CQ12" s="64">
        <v>2</v>
      </c>
      <c r="CR12" s="64"/>
      <c r="CS12" s="47">
        <f t="shared" si="0"/>
        <v>0</v>
      </c>
      <c r="CT12" s="47">
        <f t="shared" si="1"/>
        <v>31</v>
      </c>
      <c r="CU12" s="47">
        <f t="shared" si="2"/>
        <v>47</v>
      </c>
      <c r="CV12" s="48">
        <v>700</v>
      </c>
      <c r="CW12" s="47">
        <f t="shared" si="3"/>
        <v>21700</v>
      </c>
      <c r="CX12" s="47">
        <f t="shared" si="4"/>
        <v>4112.5</v>
      </c>
      <c r="CY12" s="47">
        <f t="shared" si="5"/>
        <v>25812.5</v>
      </c>
      <c r="CZ12" s="45"/>
      <c r="DA12" s="18" t="s">
        <v>22</v>
      </c>
    </row>
    <row r="13" spans="1:105" s="43" customFormat="1" ht="12.75" thickBot="1" x14ac:dyDescent="0.25">
      <c r="A13" s="29">
        <v>11</v>
      </c>
      <c r="B13" s="30" t="s">
        <v>52</v>
      </c>
      <c r="C13" s="39"/>
      <c r="D13" s="67" t="s">
        <v>18</v>
      </c>
      <c r="E13" s="68"/>
      <c r="F13" s="67" t="s">
        <v>19</v>
      </c>
      <c r="G13" s="71" t="s">
        <v>18</v>
      </c>
      <c r="H13" s="72">
        <v>1</v>
      </c>
      <c r="I13" s="71" t="s">
        <v>19</v>
      </c>
      <c r="J13" s="74" t="s">
        <v>18</v>
      </c>
      <c r="K13" s="75">
        <v>3</v>
      </c>
      <c r="L13" s="74" t="s">
        <v>19</v>
      </c>
      <c r="M13" s="32" t="s">
        <v>18</v>
      </c>
      <c r="N13" s="33">
        <v>2</v>
      </c>
      <c r="O13" s="32"/>
      <c r="P13" s="34" t="s">
        <v>18</v>
      </c>
      <c r="Q13" s="34"/>
      <c r="R13" s="32"/>
      <c r="S13" s="34" t="s">
        <v>18</v>
      </c>
      <c r="T13" s="34">
        <v>1</v>
      </c>
      <c r="U13" s="32"/>
      <c r="V13" s="34" t="s">
        <v>18</v>
      </c>
      <c r="W13" s="34"/>
      <c r="X13" s="32"/>
      <c r="Y13" s="34" t="s">
        <v>18</v>
      </c>
      <c r="Z13" s="34">
        <v>2</v>
      </c>
      <c r="AA13" s="32"/>
      <c r="AB13" s="34" t="s">
        <v>18</v>
      </c>
      <c r="AC13" s="34"/>
      <c r="AD13" s="32"/>
      <c r="AE13" s="34" t="s">
        <v>29</v>
      </c>
      <c r="AF13" s="34"/>
      <c r="AG13" s="32"/>
      <c r="AH13" s="34" t="s">
        <v>18</v>
      </c>
      <c r="AI13" s="34"/>
      <c r="AJ13" s="32"/>
      <c r="AK13" s="34" t="s">
        <v>26</v>
      </c>
      <c r="AL13" s="35"/>
      <c r="AM13" s="32" t="s">
        <v>27</v>
      </c>
      <c r="AN13" s="34"/>
      <c r="AO13" s="34"/>
      <c r="AP13" s="32"/>
      <c r="AQ13" s="33"/>
      <c r="AR13" s="33"/>
      <c r="AS13" s="32"/>
      <c r="AT13" s="33"/>
      <c r="AU13" s="33"/>
      <c r="AV13" s="32"/>
      <c r="AW13" s="33"/>
      <c r="AX13" s="33"/>
      <c r="AY13" s="33"/>
      <c r="AZ13" s="34"/>
      <c r="BA13" s="34"/>
      <c r="BB13" s="34"/>
      <c r="BC13" s="34"/>
      <c r="BD13" s="34"/>
      <c r="BE13" s="33"/>
      <c r="BF13" s="36"/>
      <c r="BG13" s="36"/>
      <c r="BH13" s="62"/>
      <c r="BI13" s="36"/>
      <c r="BJ13" s="36"/>
      <c r="BK13" s="62"/>
      <c r="BL13" s="36"/>
      <c r="BM13" s="36"/>
      <c r="BN13" s="62"/>
      <c r="BO13" s="34"/>
      <c r="BP13" s="34"/>
      <c r="BQ13" s="33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3"/>
      <c r="CF13" s="34"/>
      <c r="CG13" s="34"/>
      <c r="CH13" s="34"/>
      <c r="CI13" s="33"/>
      <c r="CJ13" s="34"/>
      <c r="CK13" s="34"/>
      <c r="CL13" s="33"/>
      <c r="CM13" s="34"/>
      <c r="CN13" s="34"/>
      <c r="CO13" s="64"/>
      <c r="CP13" s="64"/>
      <c r="CQ13" s="64"/>
      <c r="CR13" s="64"/>
      <c r="CS13" s="47">
        <f t="shared" si="0"/>
        <v>0</v>
      </c>
      <c r="CT13" s="47">
        <f t="shared" si="1"/>
        <v>11</v>
      </c>
      <c r="CU13" s="47">
        <f t="shared" si="2"/>
        <v>9</v>
      </c>
      <c r="CV13" s="48">
        <v>600</v>
      </c>
      <c r="CW13" s="47">
        <f t="shared" si="3"/>
        <v>6600</v>
      </c>
      <c r="CX13" s="47">
        <f t="shared" si="4"/>
        <v>675</v>
      </c>
      <c r="CY13" s="47">
        <f t="shared" si="5"/>
        <v>7275</v>
      </c>
      <c r="CZ13" s="45"/>
      <c r="DA13" s="18" t="s">
        <v>22</v>
      </c>
    </row>
    <row r="14" spans="1:105" s="43" customFormat="1" ht="12.75" thickBot="1" x14ac:dyDescent="0.25">
      <c r="A14" s="29">
        <v>12</v>
      </c>
      <c r="B14" s="49" t="s">
        <v>53</v>
      </c>
      <c r="C14" s="39" t="s">
        <v>31</v>
      </c>
      <c r="D14" s="67" t="s">
        <v>18</v>
      </c>
      <c r="E14" s="68">
        <v>3</v>
      </c>
      <c r="F14" s="67" t="s">
        <v>21</v>
      </c>
      <c r="G14" s="71" t="s">
        <v>18</v>
      </c>
      <c r="H14" s="72">
        <v>1</v>
      </c>
      <c r="I14" s="71" t="s">
        <v>20</v>
      </c>
      <c r="J14" s="74" t="s">
        <v>18</v>
      </c>
      <c r="K14" s="75">
        <v>2</v>
      </c>
      <c r="L14" s="74" t="s">
        <v>25</v>
      </c>
      <c r="M14" s="34" t="s">
        <v>18</v>
      </c>
      <c r="N14" s="34">
        <v>2</v>
      </c>
      <c r="O14" s="32" t="s">
        <v>28</v>
      </c>
      <c r="P14" s="34" t="s">
        <v>18</v>
      </c>
      <c r="Q14" s="34">
        <v>3</v>
      </c>
      <c r="R14" s="32" t="s">
        <v>25</v>
      </c>
      <c r="S14" s="34" t="s">
        <v>18</v>
      </c>
      <c r="T14" s="34">
        <v>3</v>
      </c>
      <c r="U14" s="32" t="s">
        <v>39</v>
      </c>
      <c r="V14" s="34" t="s">
        <v>29</v>
      </c>
      <c r="W14" s="34"/>
      <c r="X14" s="32"/>
      <c r="Y14" s="34" t="s">
        <v>29</v>
      </c>
      <c r="Z14" s="34"/>
      <c r="AA14" s="32"/>
      <c r="AB14" s="34" t="s">
        <v>29</v>
      </c>
      <c r="AC14" s="34"/>
      <c r="AD14" s="32"/>
      <c r="AE14" s="34"/>
      <c r="AF14" s="34"/>
      <c r="AG14" s="32"/>
      <c r="AH14" s="34"/>
      <c r="AI14" s="34"/>
      <c r="AJ14" s="32"/>
      <c r="AK14" s="34"/>
      <c r="AL14" s="35"/>
      <c r="AM14" s="32"/>
      <c r="AN14" s="34"/>
      <c r="AO14" s="34"/>
      <c r="AP14" s="32"/>
      <c r="AQ14" s="33"/>
      <c r="AR14" s="33"/>
      <c r="AS14" s="32"/>
      <c r="AT14" s="33"/>
      <c r="AU14" s="33"/>
      <c r="AV14" s="32"/>
      <c r="AW14" s="33"/>
      <c r="AX14" s="33"/>
      <c r="AY14" s="33"/>
      <c r="AZ14" s="34"/>
      <c r="BA14" s="34"/>
      <c r="BB14" s="34"/>
      <c r="BC14" s="34"/>
      <c r="BD14" s="34"/>
      <c r="BE14" s="33"/>
      <c r="BF14" s="36"/>
      <c r="BG14" s="36"/>
      <c r="BH14" s="62"/>
      <c r="BI14" s="36"/>
      <c r="BJ14" s="36"/>
      <c r="BK14" s="62"/>
      <c r="BL14" s="36"/>
      <c r="BM14" s="36"/>
      <c r="BN14" s="62"/>
      <c r="BO14" s="34"/>
      <c r="BP14" s="34"/>
      <c r="BQ14" s="33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3"/>
      <c r="CF14" s="34"/>
      <c r="CG14" s="34"/>
      <c r="CH14" s="34"/>
      <c r="CI14" s="33"/>
      <c r="CJ14" s="34"/>
      <c r="CK14" s="34"/>
      <c r="CL14" s="33"/>
      <c r="CM14" s="34"/>
      <c r="CN14" s="34"/>
      <c r="CO14" s="64"/>
      <c r="CP14" s="64"/>
      <c r="CQ14" s="64"/>
      <c r="CR14" s="64"/>
      <c r="CS14" s="47">
        <f t="shared" si="0"/>
        <v>0</v>
      </c>
      <c r="CT14" s="47">
        <f t="shared" si="1"/>
        <v>6</v>
      </c>
      <c r="CU14" s="47">
        <f t="shared" si="2"/>
        <v>14</v>
      </c>
      <c r="CV14" s="48">
        <v>600</v>
      </c>
      <c r="CW14" s="47">
        <f t="shared" si="3"/>
        <v>3600</v>
      </c>
      <c r="CX14" s="47">
        <f t="shared" si="4"/>
        <v>1050</v>
      </c>
      <c r="CY14" s="47">
        <f t="shared" si="5"/>
        <v>4650</v>
      </c>
      <c r="CZ14" s="45"/>
      <c r="DA14" s="18" t="s">
        <v>22</v>
      </c>
    </row>
    <row r="15" spans="1:105" s="43" customFormat="1" ht="12.75" thickBot="1" x14ac:dyDescent="0.25">
      <c r="A15" s="29">
        <v>13</v>
      </c>
      <c r="B15" s="49" t="s">
        <v>54</v>
      </c>
      <c r="C15" s="39" t="s">
        <v>17</v>
      </c>
      <c r="D15" s="67" t="s">
        <v>18</v>
      </c>
      <c r="E15" s="68">
        <v>3</v>
      </c>
      <c r="F15" s="67" t="s">
        <v>21</v>
      </c>
      <c r="G15" s="71" t="s">
        <v>18</v>
      </c>
      <c r="H15" s="72">
        <v>1</v>
      </c>
      <c r="I15" s="71" t="s">
        <v>32</v>
      </c>
      <c r="J15" s="74" t="s">
        <v>18</v>
      </c>
      <c r="K15" s="75">
        <v>2</v>
      </c>
      <c r="L15" s="74" t="s">
        <v>21</v>
      </c>
      <c r="M15" s="34" t="s">
        <v>18</v>
      </c>
      <c r="N15" s="34">
        <v>2</v>
      </c>
      <c r="O15" s="32" t="s">
        <v>55</v>
      </c>
      <c r="P15" s="34" t="s">
        <v>18</v>
      </c>
      <c r="Q15" s="34">
        <v>3</v>
      </c>
      <c r="R15" s="32" t="s">
        <v>25</v>
      </c>
      <c r="S15" s="34" t="s">
        <v>18</v>
      </c>
      <c r="T15" s="34">
        <v>3</v>
      </c>
      <c r="U15" s="32" t="s">
        <v>39</v>
      </c>
      <c r="V15" s="34" t="s">
        <v>18</v>
      </c>
      <c r="W15" s="34">
        <v>1</v>
      </c>
      <c r="X15" s="32" t="s">
        <v>33</v>
      </c>
      <c r="Y15" s="34" t="s">
        <v>18</v>
      </c>
      <c r="Z15" s="34">
        <v>2</v>
      </c>
      <c r="AA15" s="32" t="s">
        <v>25</v>
      </c>
      <c r="AB15" s="36" t="s">
        <v>18</v>
      </c>
      <c r="AC15" s="36">
        <v>1</v>
      </c>
      <c r="AD15" s="41" t="s">
        <v>56</v>
      </c>
      <c r="AE15" s="34" t="s">
        <v>26</v>
      </c>
      <c r="AF15" s="34">
        <v>1</v>
      </c>
      <c r="AG15" s="32" t="s">
        <v>49</v>
      </c>
      <c r="AH15" s="34" t="s">
        <v>26</v>
      </c>
      <c r="AI15" s="34">
        <v>1</v>
      </c>
      <c r="AJ15" s="32" t="s">
        <v>57</v>
      </c>
      <c r="AK15" s="34" t="s">
        <v>26</v>
      </c>
      <c r="AL15" s="35">
        <v>1</v>
      </c>
      <c r="AM15" s="32" t="s">
        <v>57</v>
      </c>
      <c r="AN15" s="34" t="s">
        <v>26</v>
      </c>
      <c r="AO15" s="34">
        <v>1</v>
      </c>
      <c r="AP15" s="32" t="s">
        <v>51</v>
      </c>
      <c r="AQ15" s="33" t="s">
        <v>18</v>
      </c>
      <c r="AR15" s="33">
        <v>1</v>
      </c>
      <c r="AS15" s="32" t="s">
        <v>25</v>
      </c>
      <c r="AT15" s="33" t="s">
        <v>18</v>
      </c>
      <c r="AU15" s="33">
        <v>1</v>
      </c>
      <c r="AV15" s="32" t="s">
        <v>25</v>
      </c>
      <c r="AW15" s="33" t="s">
        <v>18</v>
      </c>
      <c r="AX15" s="33">
        <v>1</v>
      </c>
      <c r="AY15" s="33" t="s">
        <v>25</v>
      </c>
      <c r="AZ15" s="34" t="s">
        <v>18</v>
      </c>
      <c r="BA15" s="34">
        <v>1</v>
      </c>
      <c r="BB15" s="34" t="s">
        <v>28</v>
      </c>
      <c r="BC15" s="34" t="s">
        <v>18</v>
      </c>
      <c r="BD15" s="34">
        <v>1</v>
      </c>
      <c r="BE15" s="33" t="s">
        <v>28</v>
      </c>
      <c r="BF15" s="36" t="s">
        <v>18</v>
      </c>
      <c r="BG15" s="36">
        <v>1</v>
      </c>
      <c r="BH15" s="62" t="s">
        <v>79</v>
      </c>
      <c r="BI15" s="36" t="s">
        <v>18</v>
      </c>
      <c r="BJ15" s="36">
        <v>1</v>
      </c>
      <c r="BK15" s="62" t="s">
        <v>82</v>
      </c>
      <c r="BL15" s="36" t="s">
        <v>18</v>
      </c>
      <c r="BM15" s="36">
        <v>1</v>
      </c>
      <c r="BN15" s="62" t="s">
        <v>28</v>
      </c>
      <c r="BO15" s="34" t="s">
        <v>26</v>
      </c>
      <c r="BP15" s="34">
        <v>1</v>
      </c>
      <c r="BQ15" s="33" t="s">
        <v>83</v>
      </c>
      <c r="BR15" s="34" t="s">
        <v>18</v>
      </c>
      <c r="BS15" s="34">
        <v>1</v>
      </c>
      <c r="BT15" s="34" t="s">
        <v>76</v>
      </c>
      <c r="BU15" s="34" t="s">
        <v>18</v>
      </c>
      <c r="BV15" s="34">
        <v>1</v>
      </c>
      <c r="BW15" s="34" t="s">
        <v>20</v>
      </c>
      <c r="BX15" s="34" t="s">
        <v>18</v>
      </c>
      <c r="BY15" s="34">
        <v>2</v>
      </c>
      <c r="BZ15" s="34" t="s">
        <v>20</v>
      </c>
      <c r="CA15" s="34" t="s">
        <v>18</v>
      </c>
      <c r="CB15" s="34">
        <v>2</v>
      </c>
      <c r="CC15" s="34" t="s">
        <v>20</v>
      </c>
      <c r="CD15" s="34" t="s">
        <v>18</v>
      </c>
      <c r="CE15" s="33">
        <v>2</v>
      </c>
      <c r="CF15" s="34" t="s">
        <v>25</v>
      </c>
      <c r="CG15" s="34" t="s">
        <v>18</v>
      </c>
      <c r="CH15" s="34"/>
      <c r="CI15" s="33"/>
      <c r="CJ15" s="34" t="s">
        <v>18</v>
      </c>
      <c r="CK15" s="34">
        <v>3</v>
      </c>
      <c r="CL15" s="33" t="s">
        <v>25</v>
      </c>
      <c r="CM15" s="34" t="s">
        <v>18</v>
      </c>
      <c r="CN15" s="34">
        <v>1</v>
      </c>
      <c r="CO15" s="64" t="s">
        <v>20</v>
      </c>
      <c r="CP15" s="64" t="s">
        <v>18</v>
      </c>
      <c r="CQ15" s="64">
        <v>2</v>
      </c>
      <c r="CR15" s="64" t="s">
        <v>20</v>
      </c>
      <c r="CS15" s="47">
        <f t="shared" si="0"/>
        <v>0</v>
      </c>
      <c r="CT15" s="47">
        <f t="shared" si="1"/>
        <v>31</v>
      </c>
      <c r="CU15" s="47">
        <f t="shared" si="2"/>
        <v>45</v>
      </c>
      <c r="CV15" s="48">
        <v>900</v>
      </c>
      <c r="CW15" s="47">
        <f t="shared" si="3"/>
        <v>27900</v>
      </c>
      <c r="CX15" s="47">
        <f t="shared" si="4"/>
        <v>5062.5</v>
      </c>
      <c r="CY15" s="47">
        <f t="shared" si="5"/>
        <v>32962.5</v>
      </c>
      <c r="CZ15" s="45"/>
      <c r="DA15" s="18" t="s">
        <v>22</v>
      </c>
    </row>
    <row r="16" spans="1:105" s="43" customFormat="1" ht="12.75" thickBot="1" x14ac:dyDescent="0.25">
      <c r="A16" s="29">
        <v>14</v>
      </c>
      <c r="B16" s="49" t="s">
        <v>58</v>
      </c>
      <c r="C16" s="39" t="s">
        <v>31</v>
      </c>
      <c r="D16" s="67" t="s">
        <v>18</v>
      </c>
      <c r="E16" s="68">
        <v>2</v>
      </c>
      <c r="F16" s="67" t="s">
        <v>19</v>
      </c>
      <c r="G16" s="71" t="s">
        <v>18</v>
      </c>
      <c r="H16" s="72">
        <v>3</v>
      </c>
      <c r="I16" s="71" t="s">
        <v>19</v>
      </c>
      <c r="J16" s="74" t="s">
        <v>18</v>
      </c>
      <c r="K16" s="75">
        <v>2</v>
      </c>
      <c r="L16" s="74" t="s">
        <v>19</v>
      </c>
      <c r="M16" s="34" t="s">
        <v>18</v>
      </c>
      <c r="N16" s="34">
        <v>2</v>
      </c>
      <c r="O16" s="32" t="s">
        <v>33</v>
      </c>
      <c r="P16" s="34" t="s">
        <v>18</v>
      </c>
      <c r="Q16" s="34">
        <v>4</v>
      </c>
      <c r="R16" s="32"/>
      <c r="S16" s="34" t="s">
        <v>18</v>
      </c>
      <c r="T16" s="34"/>
      <c r="U16" s="32"/>
      <c r="V16" s="34" t="s">
        <v>18</v>
      </c>
      <c r="W16" s="34"/>
      <c r="X16" s="32"/>
      <c r="Y16" s="34" t="s">
        <v>18</v>
      </c>
      <c r="Z16" s="34">
        <v>1</v>
      </c>
      <c r="AA16" s="32" t="s">
        <v>25</v>
      </c>
      <c r="AB16" s="36" t="s">
        <v>18</v>
      </c>
      <c r="AC16" s="36">
        <v>1</v>
      </c>
      <c r="AD16" s="41" t="s">
        <v>32</v>
      </c>
      <c r="AE16" s="34" t="s">
        <v>18</v>
      </c>
      <c r="AF16" s="34">
        <v>1</v>
      </c>
      <c r="AG16" s="32"/>
      <c r="AH16" s="34" t="s">
        <v>18</v>
      </c>
      <c r="AI16" s="34">
        <v>3</v>
      </c>
      <c r="AJ16" s="32"/>
      <c r="AK16" s="34" t="s">
        <v>18</v>
      </c>
      <c r="AL16" s="35">
        <v>2</v>
      </c>
      <c r="AM16" s="32"/>
      <c r="AN16" s="34" t="s">
        <v>18</v>
      </c>
      <c r="AO16" s="34">
        <v>2</v>
      </c>
      <c r="AP16" s="32"/>
      <c r="AQ16" s="33" t="s">
        <v>18</v>
      </c>
      <c r="AR16" s="33">
        <v>2</v>
      </c>
      <c r="AS16" s="32"/>
      <c r="AT16" s="33" t="s">
        <v>18</v>
      </c>
      <c r="AU16" s="33"/>
      <c r="AV16" s="32"/>
      <c r="AW16" s="33" t="s">
        <v>18</v>
      </c>
      <c r="AX16" s="33">
        <v>1</v>
      </c>
      <c r="AY16" s="33"/>
      <c r="AZ16" s="34" t="s">
        <v>18</v>
      </c>
      <c r="BA16" s="34">
        <v>1</v>
      </c>
      <c r="BB16" s="34"/>
      <c r="BC16" s="34" t="s">
        <v>18</v>
      </c>
      <c r="BD16" s="34">
        <v>1</v>
      </c>
      <c r="BE16" s="33"/>
      <c r="BF16" s="36" t="s">
        <v>18</v>
      </c>
      <c r="BG16" s="36"/>
      <c r="BH16" s="62"/>
      <c r="BI16" s="36" t="s">
        <v>18</v>
      </c>
      <c r="BJ16" s="36">
        <v>1</v>
      </c>
      <c r="BK16" s="62"/>
      <c r="BL16" s="36" t="s">
        <v>18</v>
      </c>
      <c r="BM16" s="36"/>
      <c r="BN16" s="62"/>
      <c r="BO16" s="34" t="s">
        <v>18</v>
      </c>
      <c r="BP16" s="34">
        <v>1</v>
      </c>
      <c r="BQ16" s="33"/>
      <c r="BR16" s="34" t="s">
        <v>18</v>
      </c>
      <c r="BS16" s="34">
        <v>1</v>
      </c>
      <c r="BT16" s="34"/>
      <c r="BU16" s="34" t="s">
        <v>18</v>
      </c>
      <c r="BV16" s="34">
        <v>1</v>
      </c>
      <c r="BW16" s="34"/>
      <c r="BX16" s="34" t="s">
        <v>18</v>
      </c>
      <c r="BY16" s="34">
        <v>2</v>
      </c>
      <c r="BZ16" s="34"/>
      <c r="CA16" s="34" t="s">
        <v>18</v>
      </c>
      <c r="CB16" s="34"/>
      <c r="CC16" s="34"/>
      <c r="CD16" s="34" t="s">
        <v>18</v>
      </c>
      <c r="CE16" s="33"/>
      <c r="CF16" s="34"/>
      <c r="CG16" s="34" t="s">
        <v>18</v>
      </c>
      <c r="CH16" s="34"/>
      <c r="CI16" s="33"/>
      <c r="CJ16" s="34" t="s">
        <v>18</v>
      </c>
      <c r="CK16" s="34"/>
      <c r="CL16" s="33"/>
      <c r="CM16" s="34" t="s">
        <v>18</v>
      </c>
      <c r="CN16" s="34"/>
      <c r="CO16" s="64"/>
      <c r="CP16" s="64" t="s">
        <v>18</v>
      </c>
      <c r="CQ16" s="64"/>
      <c r="CR16" s="64"/>
      <c r="CS16" s="47">
        <f t="shared" si="0"/>
        <v>0</v>
      </c>
      <c r="CT16" s="47">
        <f t="shared" si="1"/>
        <v>31</v>
      </c>
      <c r="CU16" s="47">
        <f t="shared" si="2"/>
        <v>34</v>
      </c>
      <c r="CV16" s="48">
        <v>700</v>
      </c>
      <c r="CW16" s="47">
        <f t="shared" si="3"/>
        <v>21700</v>
      </c>
      <c r="CX16" s="47">
        <f t="shared" si="4"/>
        <v>2975</v>
      </c>
      <c r="CY16" s="47">
        <f t="shared" si="5"/>
        <v>24675</v>
      </c>
      <c r="CZ16" s="45"/>
      <c r="DA16" s="18" t="s">
        <v>22</v>
      </c>
    </row>
    <row r="17" spans="1:105" s="43" customFormat="1" ht="12.75" thickBot="1" x14ac:dyDescent="0.25">
      <c r="A17" s="29">
        <v>15</v>
      </c>
      <c r="B17" s="49" t="s">
        <v>59</v>
      </c>
      <c r="C17" s="50" t="s">
        <v>17</v>
      </c>
      <c r="D17" s="67" t="s">
        <v>18</v>
      </c>
      <c r="E17" s="68">
        <v>2</v>
      </c>
      <c r="F17" s="67" t="s">
        <v>19</v>
      </c>
      <c r="G17" s="71" t="s">
        <v>18</v>
      </c>
      <c r="H17" s="72">
        <v>3</v>
      </c>
      <c r="I17" s="71" t="s">
        <v>19</v>
      </c>
      <c r="J17" s="74" t="s">
        <v>18</v>
      </c>
      <c r="K17" s="75">
        <v>4</v>
      </c>
      <c r="L17" s="74" t="s">
        <v>19</v>
      </c>
      <c r="M17" s="34" t="s">
        <v>18</v>
      </c>
      <c r="N17" s="34">
        <v>4</v>
      </c>
      <c r="O17" s="32"/>
      <c r="P17" s="34" t="s">
        <v>18</v>
      </c>
      <c r="Q17" s="34">
        <v>4</v>
      </c>
      <c r="R17" s="32" t="s">
        <v>25</v>
      </c>
      <c r="S17" s="34" t="s">
        <v>18</v>
      </c>
      <c r="T17" s="34">
        <v>3</v>
      </c>
      <c r="U17" s="32" t="s">
        <v>21</v>
      </c>
      <c r="V17" s="34" t="s">
        <v>18</v>
      </c>
      <c r="W17" s="34">
        <v>1</v>
      </c>
      <c r="X17" s="32" t="s">
        <v>21</v>
      </c>
      <c r="Y17" s="34" t="s">
        <v>26</v>
      </c>
      <c r="Z17" s="34">
        <v>2</v>
      </c>
      <c r="AA17" s="32" t="s">
        <v>25</v>
      </c>
      <c r="AB17" s="36" t="s">
        <v>18</v>
      </c>
      <c r="AC17" s="36">
        <v>1</v>
      </c>
      <c r="AD17" s="41" t="s">
        <v>32</v>
      </c>
      <c r="AE17" s="36" t="s">
        <v>29</v>
      </c>
      <c r="AF17" s="34"/>
      <c r="AG17" s="32"/>
      <c r="AH17" s="34" t="s">
        <v>26</v>
      </c>
      <c r="AI17" s="34"/>
      <c r="AJ17" s="32" t="s">
        <v>60</v>
      </c>
      <c r="AK17" s="34" t="s">
        <v>26</v>
      </c>
      <c r="AL17" s="35">
        <v>2</v>
      </c>
      <c r="AM17" s="32" t="s">
        <v>37</v>
      </c>
      <c r="AN17" s="34" t="s">
        <v>18</v>
      </c>
      <c r="AO17" s="34">
        <v>2</v>
      </c>
      <c r="AP17" s="32"/>
      <c r="AQ17" s="33" t="s">
        <v>18</v>
      </c>
      <c r="AR17" s="33">
        <v>2</v>
      </c>
      <c r="AS17" s="32"/>
      <c r="AT17" s="33" t="s">
        <v>29</v>
      </c>
      <c r="AU17" s="33"/>
      <c r="AV17" s="32"/>
      <c r="AW17" s="33" t="s">
        <v>18</v>
      </c>
      <c r="AX17" s="33">
        <v>1</v>
      </c>
      <c r="AY17" s="33"/>
      <c r="AZ17" s="34" t="s">
        <v>18</v>
      </c>
      <c r="BA17" s="34">
        <v>1</v>
      </c>
      <c r="BB17" s="34" t="s">
        <v>81</v>
      </c>
      <c r="BC17" s="34" t="s">
        <v>26</v>
      </c>
      <c r="BD17" s="34">
        <v>1</v>
      </c>
      <c r="BE17" s="33" t="s">
        <v>20</v>
      </c>
      <c r="BF17" s="36" t="s">
        <v>18</v>
      </c>
      <c r="BG17" s="36">
        <v>1</v>
      </c>
      <c r="BH17" s="62" t="s">
        <v>20</v>
      </c>
      <c r="BI17" s="36" t="s">
        <v>18</v>
      </c>
      <c r="BJ17" s="36">
        <v>1</v>
      </c>
      <c r="BK17" s="62" t="s">
        <v>81</v>
      </c>
      <c r="BL17" s="36" t="s">
        <v>18</v>
      </c>
      <c r="BM17" s="36">
        <v>1</v>
      </c>
      <c r="BN17" s="62" t="s">
        <v>20</v>
      </c>
      <c r="BO17" s="34" t="s">
        <v>18</v>
      </c>
      <c r="BP17" s="34">
        <v>1</v>
      </c>
      <c r="BQ17" s="33" t="s">
        <v>20</v>
      </c>
      <c r="BR17" s="34" t="s">
        <v>18</v>
      </c>
      <c r="BS17" s="34">
        <v>1</v>
      </c>
      <c r="BT17" s="34" t="s">
        <v>20</v>
      </c>
      <c r="BU17" s="34" t="s">
        <v>18</v>
      </c>
      <c r="BV17" s="34">
        <v>2</v>
      </c>
      <c r="BW17" s="34" t="s">
        <v>84</v>
      </c>
      <c r="BX17" s="34" t="s">
        <v>18</v>
      </c>
      <c r="BY17" s="34">
        <v>2</v>
      </c>
      <c r="BZ17" s="34"/>
      <c r="CA17" s="34" t="s">
        <v>18</v>
      </c>
      <c r="CB17" s="34">
        <v>2</v>
      </c>
      <c r="CC17" s="34" t="s">
        <v>20</v>
      </c>
      <c r="CD17" s="34" t="s">
        <v>18</v>
      </c>
      <c r="CE17" s="33">
        <v>2</v>
      </c>
      <c r="CF17" s="34" t="s">
        <v>25</v>
      </c>
      <c r="CG17" s="34" t="s">
        <v>18</v>
      </c>
      <c r="CH17" s="34"/>
      <c r="CI17" s="33"/>
      <c r="CJ17" s="34" t="s">
        <v>18</v>
      </c>
      <c r="CK17" s="34">
        <v>2</v>
      </c>
      <c r="CL17" s="33"/>
      <c r="CM17" s="34" t="s">
        <v>18</v>
      </c>
      <c r="CN17" s="34">
        <v>1</v>
      </c>
      <c r="CO17" s="64" t="s">
        <v>21</v>
      </c>
      <c r="CP17" s="64" t="s">
        <v>18</v>
      </c>
      <c r="CQ17" s="64">
        <v>2</v>
      </c>
      <c r="CR17" s="64" t="s">
        <v>21</v>
      </c>
      <c r="CS17" s="47">
        <f t="shared" si="0"/>
        <v>0</v>
      </c>
      <c r="CT17" s="47">
        <f t="shared" si="1"/>
        <v>29</v>
      </c>
      <c r="CU17" s="47">
        <f t="shared" si="2"/>
        <v>51</v>
      </c>
      <c r="CV17" s="48">
        <v>900</v>
      </c>
      <c r="CW17" s="47">
        <f t="shared" si="3"/>
        <v>26100</v>
      </c>
      <c r="CX17" s="47">
        <f t="shared" si="4"/>
        <v>5737.5</v>
      </c>
      <c r="CY17" s="47">
        <f t="shared" si="5"/>
        <v>31837.5</v>
      </c>
      <c r="CZ17" s="45"/>
      <c r="DA17" s="18" t="s">
        <v>42</v>
      </c>
    </row>
    <row r="18" spans="1:105" s="43" customFormat="1" ht="12.75" thickBot="1" x14ac:dyDescent="0.25">
      <c r="A18" s="29">
        <v>16</v>
      </c>
      <c r="B18" s="49" t="s">
        <v>61</v>
      </c>
      <c r="C18" s="39" t="s">
        <v>24</v>
      </c>
      <c r="D18" s="67" t="s">
        <v>18</v>
      </c>
      <c r="E18" s="68">
        <v>3</v>
      </c>
      <c r="F18" s="67" t="s">
        <v>21</v>
      </c>
      <c r="G18" s="71" t="s">
        <v>18</v>
      </c>
      <c r="H18" s="72">
        <v>1</v>
      </c>
      <c r="I18" s="71" t="s">
        <v>19</v>
      </c>
      <c r="J18" s="74" t="s">
        <v>18</v>
      </c>
      <c r="K18" s="75">
        <v>2</v>
      </c>
      <c r="L18" s="74" t="s">
        <v>21</v>
      </c>
      <c r="M18" s="34" t="s">
        <v>18</v>
      </c>
      <c r="N18" s="34">
        <v>2</v>
      </c>
      <c r="O18" s="32" t="s">
        <v>20</v>
      </c>
      <c r="P18" s="34" t="s">
        <v>18</v>
      </c>
      <c r="Q18" s="34">
        <v>2</v>
      </c>
      <c r="R18" s="32" t="s">
        <v>25</v>
      </c>
      <c r="S18" s="34" t="s">
        <v>18</v>
      </c>
      <c r="T18" s="34">
        <v>3</v>
      </c>
      <c r="U18" s="32" t="s">
        <v>21</v>
      </c>
      <c r="V18" s="34" t="s">
        <v>18</v>
      </c>
      <c r="W18" s="34">
        <v>1</v>
      </c>
      <c r="X18" s="32" t="s">
        <v>21</v>
      </c>
      <c r="Y18" s="34" t="s">
        <v>18</v>
      </c>
      <c r="Z18" s="34">
        <v>1</v>
      </c>
      <c r="AA18" s="32" t="s">
        <v>25</v>
      </c>
      <c r="AB18" s="36" t="s">
        <v>18</v>
      </c>
      <c r="AC18" s="36">
        <v>1</v>
      </c>
      <c r="AD18" s="41" t="s">
        <v>32</v>
      </c>
      <c r="AE18" s="34" t="s">
        <v>26</v>
      </c>
      <c r="AF18" s="34">
        <v>1</v>
      </c>
      <c r="AG18" s="32" t="s">
        <v>49</v>
      </c>
      <c r="AH18" s="34" t="s">
        <v>26</v>
      </c>
      <c r="AI18" s="34">
        <v>1</v>
      </c>
      <c r="AJ18" s="32" t="s">
        <v>57</v>
      </c>
      <c r="AK18" s="34" t="s">
        <v>26</v>
      </c>
      <c r="AL18" s="35">
        <v>1</v>
      </c>
      <c r="AM18" s="32" t="s">
        <v>37</v>
      </c>
      <c r="AN18" s="34" t="s">
        <v>18</v>
      </c>
      <c r="AO18" s="34">
        <v>1</v>
      </c>
      <c r="AP18" s="32" t="s">
        <v>51</v>
      </c>
      <c r="AQ18" s="33" t="s">
        <v>18</v>
      </c>
      <c r="AR18" s="33">
        <v>1</v>
      </c>
      <c r="AS18" s="32" t="s">
        <v>25</v>
      </c>
      <c r="AT18" s="33" t="s">
        <v>18</v>
      </c>
      <c r="AU18" s="33">
        <v>1</v>
      </c>
      <c r="AV18" s="32" t="s">
        <v>25</v>
      </c>
      <c r="AW18" s="33" t="s">
        <v>18</v>
      </c>
      <c r="AX18" s="33">
        <v>1</v>
      </c>
      <c r="AY18" s="33" t="s">
        <v>25</v>
      </c>
      <c r="AZ18" s="34" t="s">
        <v>18</v>
      </c>
      <c r="BA18" s="34">
        <v>1</v>
      </c>
      <c r="BB18" s="34"/>
      <c r="BC18" s="34" t="s">
        <v>18</v>
      </c>
      <c r="BD18" s="34">
        <v>1</v>
      </c>
      <c r="BE18" s="33" t="s">
        <v>78</v>
      </c>
      <c r="BF18" s="36" t="s">
        <v>18</v>
      </c>
      <c r="BG18" s="36">
        <v>1</v>
      </c>
      <c r="BH18" s="62" t="s">
        <v>28</v>
      </c>
      <c r="BI18" s="36" t="s">
        <v>18</v>
      </c>
      <c r="BJ18" s="36">
        <v>1</v>
      </c>
      <c r="BK18" s="62" t="s">
        <v>79</v>
      </c>
      <c r="BL18" s="36" t="s">
        <v>18</v>
      </c>
      <c r="BM18" s="36">
        <v>1</v>
      </c>
      <c r="BN18" s="62" t="s">
        <v>28</v>
      </c>
      <c r="BO18" s="34" t="s">
        <v>26</v>
      </c>
      <c r="BP18" s="34">
        <v>1</v>
      </c>
      <c r="BQ18" s="33" t="s">
        <v>85</v>
      </c>
      <c r="BR18" s="34" t="s">
        <v>18</v>
      </c>
      <c r="BS18" s="34">
        <v>1</v>
      </c>
      <c r="BT18" s="34"/>
      <c r="BU18" s="34" t="s">
        <v>18</v>
      </c>
      <c r="BV18" s="34">
        <v>1</v>
      </c>
      <c r="BW18" s="34" t="s">
        <v>28</v>
      </c>
      <c r="BX18" s="34" t="s">
        <v>18</v>
      </c>
      <c r="BY18" s="34">
        <v>2</v>
      </c>
      <c r="BZ18" s="34"/>
      <c r="CA18" s="34" t="s">
        <v>18</v>
      </c>
      <c r="CB18" s="34">
        <v>2</v>
      </c>
      <c r="CC18" s="34" t="s">
        <v>20</v>
      </c>
      <c r="CD18" s="34" t="s">
        <v>18</v>
      </c>
      <c r="CE18" s="33">
        <v>2</v>
      </c>
      <c r="CF18" s="34" t="s">
        <v>25</v>
      </c>
      <c r="CG18" s="34" t="s">
        <v>18</v>
      </c>
      <c r="CH18" s="34"/>
      <c r="CI18" s="33"/>
      <c r="CJ18" s="34" t="s">
        <v>18</v>
      </c>
      <c r="CK18" s="34">
        <v>3</v>
      </c>
      <c r="CL18" s="33"/>
      <c r="CM18" s="34" t="s">
        <v>18</v>
      </c>
      <c r="CN18" s="34">
        <v>1</v>
      </c>
      <c r="CO18" s="64" t="s">
        <v>21</v>
      </c>
      <c r="CP18" s="64" t="s">
        <v>18</v>
      </c>
      <c r="CQ18" s="64">
        <v>2</v>
      </c>
      <c r="CR18" s="64"/>
      <c r="CS18" s="47">
        <f t="shared" si="0"/>
        <v>0</v>
      </c>
      <c r="CT18" s="47">
        <f t="shared" si="1"/>
        <v>31</v>
      </c>
      <c r="CU18" s="47">
        <f t="shared" si="2"/>
        <v>43</v>
      </c>
      <c r="CV18" s="48">
        <v>850</v>
      </c>
      <c r="CW18" s="47">
        <f t="shared" si="3"/>
        <v>26350</v>
      </c>
      <c r="CX18" s="47">
        <f t="shared" si="4"/>
        <v>4568.75</v>
      </c>
      <c r="CY18" s="47">
        <f t="shared" si="5"/>
        <v>30918.75</v>
      </c>
      <c r="CZ18" s="45"/>
      <c r="DA18" s="18" t="s">
        <v>22</v>
      </c>
    </row>
    <row r="19" spans="1:105" s="43" customFormat="1" ht="12.75" thickBot="1" x14ac:dyDescent="0.25">
      <c r="A19" s="29">
        <v>17</v>
      </c>
      <c r="B19" s="49" t="s">
        <v>62</v>
      </c>
      <c r="C19" s="39"/>
      <c r="D19" s="67" t="s">
        <v>29</v>
      </c>
      <c r="E19" s="68"/>
      <c r="F19" s="67"/>
      <c r="G19" s="71" t="s">
        <v>29</v>
      </c>
      <c r="H19" s="72"/>
      <c r="I19" s="71"/>
      <c r="J19" s="74" t="s">
        <v>18</v>
      </c>
      <c r="K19" s="75">
        <v>3</v>
      </c>
      <c r="L19" s="74"/>
      <c r="M19" s="34" t="s">
        <v>18</v>
      </c>
      <c r="N19" s="34">
        <v>3</v>
      </c>
      <c r="O19" s="32"/>
      <c r="P19" s="34" t="s">
        <v>18</v>
      </c>
      <c r="Q19" s="34">
        <v>3</v>
      </c>
      <c r="R19" s="32"/>
      <c r="S19" s="34" t="s">
        <v>18</v>
      </c>
      <c r="T19" s="34">
        <v>2</v>
      </c>
      <c r="U19" s="32"/>
      <c r="V19" s="34" t="s">
        <v>18</v>
      </c>
      <c r="W19" s="34"/>
      <c r="X19" s="32"/>
      <c r="Y19" s="34" t="s">
        <v>18</v>
      </c>
      <c r="Z19" s="34">
        <v>1</v>
      </c>
      <c r="AA19" s="32" t="s">
        <v>25</v>
      </c>
      <c r="AB19" s="36" t="s">
        <v>18</v>
      </c>
      <c r="AC19" s="36">
        <v>1</v>
      </c>
      <c r="AD19" s="41" t="s">
        <v>56</v>
      </c>
      <c r="AE19" s="34" t="s">
        <v>18</v>
      </c>
      <c r="AF19" s="34">
        <v>3</v>
      </c>
      <c r="AG19" s="32"/>
      <c r="AH19" s="34" t="s">
        <v>29</v>
      </c>
      <c r="AI19" s="34"/>
      <c r="AJ19" s="32"/>
      <c r="AK19" s="34" t="s">
        <v>26</v>
      </c>
      <c r="AL19" s="35"/>
      <c r="AM19" s="32" t="s">
        <v>27</v>
      </c>
      <c r="AN19" s="34" t="s">
        <v>18</v>
      </c>
      <c r="AO19" s="34"/>
      <c r="AP19" s="32"/>
      <c r="AQ19" s="33" t="s">
        <v>18</v>
      </c>
      <c r="AR19" s="33"/>
      <c r="AS19" s="32"/>
      <c r="AT19" s="33" t="s">
        <v>18</v>
      </c>
      <c r="AU19" s="33">
        <v>1</v>
      </c>
      <c r="AV19" s="32"/>
      <c r="AW19" s="33" t="s">
        <v>18</v>
      </c>
      <c r="AX19" s="33">
        <v>3</v>
      </c>
      <c r="AY19" s="33"/>
      <c r="AZ19" s="34" t="s">
        <v>18</v>
      </c>
      <c r="BA19" s="34">
        <v>1</v>
      </c>
      <c r="BB19" s="34"/>
      <c r="BC19" s="34" t="s">
        <v>18</v>
      </c>
      <c r="BD19" s="34">
        <v>2</v>
      </c>
      <c r="BE19" s="33"/>
      <c r="BF19" s="36" t="s">
        <v>29</v>
      </c>
      <c r="BG19" s="36"/>
      <c r="BH19" s="62"/>
      <c r="BI19" s="36" t="s">
        <v>18</v>
      </c>
      <c r="BJ19" s="36">
        <v>1</v>
      </c>
      <c r="BK19" s="62" t="s">
        <v>81</v>
      </c>
      <c r="BL19" s="36" t="s">
        <v>18</v>
      </c>
      <c r="BM19" s="36">
        <v>1</v>
      </c>
      <c r="BN19" s="62" t="s">
        <v>20</v>
      </c>
      <c r="BO19" s="34" t="s">
        <v>18</v>
      </c>
      <c r="BP19" s="34">
        <v>1</v>
      </c>
      <c r="BQ19" s="33" t="s">
        <v>20</v>
      </c>
      <c r="BR19" s="34" t="s">
        <v>18</v>
      </c>
      <c r="BS19" s="34">
        <v>1</v>
      </c>
      <c r="BT19" s="34" t="s">
        <v>20</v>
      </c>
      <c r="BU19" s="34" t="s">
        <v>18</v>
      </c>
      <c r="BV19" s="34">
        <v>1</v>
      </c>
      <c r="BW19" s="34" t="s">
        <v>86</v>
      </c>
      <c r="BX19" s="34" t="s">
        <v>18</v>
      </c>
      <c r="BY19" s="34">
        <v>2</v>
      </c>
      <c r="BZ19" s="34" t="s">
        <v>20</v>
      </c>
      <c r="CA19" s="34" t="s">
        <v>18</v>
      </c>
      <c r="CB19" s="34">
        <v>2</v>
      </c>
      <c r="CC19" s="34" t="s">
        <v>20</v>
      </c>
      <c r="CD19" s="34" t="s">
        <v>18</v>
      </c>
      <c r="CE19" s="33">
        <v>2</v>
      </c>
      <c r="CF19" s="34" t="s">
        <v>25</v>
      </c>
      <c r="CG19" s="34" t="s">
        <v>18</v>
      </c>
      <c r="CH19" s="34"/>
      <c r="CI19" s="33"/>
      <c r="CJ19" s="34" t="s">
        <v>18</v>
      </c>
      <c r="CK19" s="34"/>
      <c r="CL19" s="33"/>
      <c r="CM19" s="34" t="s">
        <v>18</v>
      </c>
      <c r="CN19" s="34"/>
      <c r="CO19" s="64" t="s">
        <v>20</v>
      </c>
      <c r="CP19" s="64" t="s">
        <v>18</v>
      </c>
      <c r="CQ19" s="64">
        <v>1</v>
      </c>
      <c r="CR19" s="64"/>
      <c r="CS19" s="47">
        <f t="shared" si="0"/>
        <v>0</v>
      </c>
      <c r="CT19" s="47">
        <f t="shared" si="1"/>
        <v>27</v>
      </c>
      <c r="CU19" s="47">
        <f t="shared" si="2"/>
        <v>35</v>
      </c>
      <c r="CV19" s="48">
        <v>600</v>
      </c>
      <c r="CW19" s="47">
        <f t="shared" si="3"/>
        <v>16200</v>
      </c>
      <c r="CX19" s="47">
        <f t="shared" si="4"/>
        <v>2625</v>
      </c>
      <c r="CY19" s="47">
        <f t="shared" si="5"/>
        <v>18825</v>
      </c>
      <c r="CZ19" s="45"/>
      <c r="DA19" s="18" t="s">
        <v>22</v>
      </c>
    </row>
    <row r="20" spans="1:105" s="43" customFormat="1" ht="12.75" thickBot="1" x14ac:dyDescent="0.25">
      <c r="A20" s="29">
        <v>18</v>
      </c>
      <c r="B20" s="49" t="s">
        <v>63</v>
      </c>
      <c r="C20" s="39"/>
      <c r="D20" s="67"/>
      <c r="E20" s="68"/>
      <c r="F20" s="67"/>
      <c r="G20" s="71"/>
      <c r="H20" s="72"/>
      <c r="I20" s="71"/>
      <c r="J20" s="74"/>
      <c r="K20" s="75"/>
      <c r="L20" s="74"/>
      <c r="M20" s="34"/>
      <c r="N20" s="34"/>
      <c r="O20" s="32"/>
      <c r="P20" s="34"/>
      <c r="Q20" s="34"/>
      <c r="R20" s="32"/>
      <c r="S20" s="34"/>
      <c r="T20" s="34"/>
      <c r="U20" s="32"/>
      <c r="V20" s="34"/>
      <c r="W20" s="34"/>
      <c r="X20" s="32"/>
      <c r="Y20" s="34"/>
      <c r="Z20" s="34"/>
      <c r="AA20" s="32"/>
      <c r="AB20" s="36"/>
      <c r="AC20" s="36"/>
      <c r="AD20" s="41"/>
      <c r="AE20" s="34"/>
      <c r="AF20" s="34"/>
      <c r="AG20" s="32"/>
      <c r="AH20" s="34"/>
      <c r="AI20" s="34"/>
      <c r="AJ20" s="32"/>
      <c r="AK20" s="34"/>
      <c r="AL20" s="35"/>
      <c r="AM20" s="32"/>
      <c r="AN20" s="34"/>
      <c r="AO20" s="34"/>
      <c r="AP20" s="32"/>
      <c r="AQ20" s="33"/>
      <c r="AR20" s="33"/>
      <c r="AS20" s="32"/>
      <c r="AT20" s="33"/>
      <c r="AU20" s="33"/>
      <c r="AV20" s="32"/>
      <c r="AW20" s="33"/>
      <c r="AX20" s="33"/>
      <c r="AY20" s="33"/>
      <c r="AZ20" s="34"/>
      <c r="BA20" s="34"/>
      <c r="BB20" s="34"/>
      <c r="BC20" s="34"/>
      <c r="BD20" s="34"/>
      <c r="BE20" s="33"/>
      <c r="BF20" s="36"/>
      <c r="BG20" s="36"/>
      <c r="BH20" s="62"/>
      <c r="BI20" s="36"/>
      <c r="BJ20" s="36"/>
      <c r="BK20" s="62"/>
      <c r="BL20" s="36"/>
      <c r="BM20" s="36"/>
      <c r="BN20" s="62"/>
      <c r="BO20" s="34"/>
      <c r="BP20" s="34"/>
      <c r="BQ20" s="33"/>
      <c r="BR20" s="34"/>
      <c r="BS20" s="34"/>
      <c r="BT20" s="34"/>
      <c r="BU20" s="34"/>
      <c r="BV20" s="34"/>
      <c r="BW20" s="34"/>
      <c r="BX20" s="34"/>
      <c r="BY20" s="34"/>
      <c r="BZ20" s="34"/>
      <c r="CA20" s="34" t="s">
        <v>18</v>
      </c>
      <c r="CB20" s="34"/>
      <c r="CC20" s="34"/>
      <c r="CD20" s="34" t="s">
        <v>18</v>
      </c>
      <c r="CE20" s="33"/>
      <c r="CF20" s="34" t="s">
        <v>25</v>
      </c>
      <c r="CG20" s="34" t="s">
        <v>18</v>
      </c>
      <c r="CH20" s="34"/>
      <c r="CI20" s="33"/>
      <c r="CJ20" s="34" t="s">
        <v>29</v>
      </c>
      <c r="CK20" s="34"/>
      <c r="CL20" s="33"/>
      <c r="CM20" s="34" t="s">
        <v>18</v>
      </c>
      <c r="CN20" s="34">
        <v>1</v>
      </c>
      <c r="CO20" s="64" t="s">
        <v>21</v>
      </c>
      <c r="CP20" s="64" t="s">
        <v>18</v>
      </c>
      <c r="CQ20" s="64">
        <v>2</v>
      </c>
      <c r="CR20" s="64" t="s">
        <v>21</v>
      </c>
      <c r="CS20" s="47">
        <f t="shared" si="0"/>
        <v>0</v>
      </c>
      <c r="CT20" s="47">
        <f t="shared" si="1"/>
        <v>5</v>
      </c>
      <c r="CU20" s="47">
        <f t="shared" si="2"/>
        <v>3</v>
      </c>
      <c r="CV20" s="48">
        <v>600</v>
      </c>
      <c r="CW20" s="47">
        <f t="shared" si="3"/>
        <v>3000</v>
      </c>
      <c r="CX20" s="47">
        <f t="shared" si="4"/>
        <v>225</v>
      </c>
      <c r="CY20" s="47">
        <f t="shared" si="5"/>
        <v>3225</v>
      </c>
      <c r="CZ20" s="45"/>
      <c r="DA20" s="18" t="s">
        <v>22</v>
      </c>
    </row>
    <row r="21" spans="1:105" ht="12.75" thickBot="1" x14ac:dyDescent="0.25">
      <c r="A21" s="29">
        <v>19</v>
      </c>
      <c r="B21" s="51" t="s">
        <v>64</v>
      </c>
      <c r="C21" s="52" t="s">
        <v>31</v>
      </c>
      <c r="D21" s="67" t="s">
        <v>29</v>
      </c>
      <c r="E21" s="67"/>
      <c r="F21" s="67"/>
      <c r="G21" s="71" t="s">
        <v>29</v>
      </c>
      <c r="H21" s="71"/>
      <c r="I21" s="71"/>
      <c r="J21" s="74" t="s">
        <v>18</v>
      </c>
      <c r="K21" s="77">
        <v>3</v>
      </c>
      <c r="L21" s="74" t="s">
        <v>19</v>
      </c>
      <c r="M21" s="32" t="s">
        <v>18</v>
      </c>
      <c r="N21" s="40">
        <v>3</v>
      </c>
      <c r="O21" s="32"/>
      <c r="P21" s="32" t="s">
        <v>18</v>
      </c>
      <c r="Q21" s="40">
        <v>3</v>
      </c>
      <c r="R21" s="32"/>
      <c r="S21" s="32" t="s">
        <v>18</v>
      </c>
      <c r="T21" s="40">
        <v>3</v>
      </c>
      <c r="U21" s="32"/>
      <c r="V21" s="32" t="s">
        <v>18</v>
      </c>
      <c r="W21" s="40"/>
      <c r="X21" s="40"/>
      <c r="Y21" s="32" t="s">
        <v>18</v>
      </c>
      <c r="Z21" s="40">
        <v>1</v>
      </c>
      <c r="AA21" s="32"/>
      <c r="AB21" s="32" t="s">
        <v>18</v>
      </c>
      <c r="AC21" s="40">
        <v>2</v>
      </c>
      <c r="AD21" s="40"/>
      <c r="AE21" s="32" t="s">
        <v>18</v>
      </c>
      <c r="AF21" s="40">
        <v>1</v>
      </c>
      <c r="AG21" s="40"/>
      <c r="AH21" s="32" t="s">
        <v>18</v>
      </c>
      <c r="AI21" s="40">
        <v>1</v>
      </c>
      <c r="AJ21" s="32"/>
      <c r="AK21" s="32" t="s">
        <v>26</v>
      </c>
      <c r="AL21" s="32"/>
      <c r="AM21" s="40" t="s">
        <v>27</v>
      </c>
      <c r="AN21" s="32" t="s">
        <v>18</v>
      </c>
      <c r="AO21" s="32"/>
      <c r="AP21" s="32"/>
      <c r="AQ21" s="32" t="s">
        <v>18</v>
      </c>
      <c r="AR21" s="40"/>
      <c r="AS21" s="32"/>
      <c r="AT21" s="32" t="s">
        <v>18</v>
      </c>
      <c r="AU21" s="40">
        <v>1</v>
      </c>
      <c r="AV21" s="32"/>
      <c r="AW21" s="32" t="s">
        <v>18</v>
      </c>
      <c r="AX21" s="40">
        <v>2</v>
      </c>
      <c r="AY21" s="32"/>
      <c r="AZ21" s="32" t="s">
        <v>18</v>
      </c>
      <c r="BA21" s="40">
        <v>2</v>
      </c>
      <c r="BB21" s="32"/>
      <c r="BC21" s="32" t="s">
        <v>18</v>
      </c>
      <c r="BD21" s="40">
        <v>6</v>
      </c>
      <c r="BE21" s="32"/>
      <c r="BF21" s="41" t="s">
        <v>29</v>
      </c>
      <c r="BG21" s="65"/>
      <c r="BH21" s="65"/>
      <c r="BI21" s="41" t="s">
        <v>18</v>
      </c>
      <c r="BJ21" s="65"/>
      <c r="BK21" s="65"/>
      <c r="BL21" s="41" t="s">
        <v>18</v>
      </c>
      <c r="BM21" s="65">
        <v>1</v>
      </c>
      <c r="BN21" s="41" t="s">
        <v>20</v>
      </c>
      <c r="BO21" s="32" t="s">
        <v>18</v>
      </c>
      <c r="BP21" s="32">
        <v>1</v>
      </c>
      <c r="BQ21" s="32" t="s">
        <v>20</v>
      </c>
      <c r="BR21" s="32" t="s">
        <v>18</v>
      </c>
      <c r="BS21" s="32">
        <v>1</v>
      </c>
      <c r="BT21" s="34" t="s">
        <v>20</v>
      </c>
      <c r="BU21" s="41" t="s">
        <v>18</v>
      </c>
      <c r="BV21" s="65"/>
      <c r="BW21" s="41" t="s">
        <v>20</v>
      </c>
      <c r="BX21" s="32" t="s">
        <v>18</v>
      </c>
      <c r="BY21" s="40">
        <v>2</v>
      </c>
      <c r="BZ21" s="40" t="s">
        <v>20</v>
      </c>
      <c r="CA21" s="40" t="s">
        <v>29</v>
      </c>
      <c r="CB21" s="40"/>
      <c r="CC21" s="32"/>
      <c r="CD21" s="40" t="s">
        <v>18</v>
      </c>
      <c r="CE21" s="32"/>
      <c r="CF21" s="40"/>
      <c r="CG21" s="40" t="s">
        <v>18</v>
      </c>
      <c r="CH21" s="40"/>
      <c r="CI21" s="40"/>
      <c r="CJ21" s="40" t="s">
        <v>18</v>
      </c>
      <c r="CK21" s="40">
        <v>1</v>
      </c>
      <c r="CL21" s="40"/>
      <c r="CM21" s="40" t="s">
        <v>18</v>
      </c>
      <c r="CN21" s="40"/>
      <c r="CO21" s="40"/>
      <c r="CP21" s="40" t="s">
        <v>18</v>
      </c>
      <c r="CQ21" s="40"/>
      <c r="CR21" s="40"/>
      <c r="CS21" s="53">
        <f>COUNTIF(C21:CR21,"h")</f>
        <v>0</v>
      </c>
      <c r="CT21" s="53">
        <f>COUNTIF(D21:CR21,"P")</f>
        <v>27</v>
      </c>
      <c r="CU21" s="53">
        <f>SUM(D21:CR21)</f>
        <v>34</v>
      </c>
      <c r="CV21" s="54">
        <v>850</v>
      </c>
      <c r="CW21" s="53">
        <f>(CT21)*CV21+600</f>
        <v>23550</v>
      </c>
      <c r="CX21" s="53">
        <f>(CV21/8*CU21)</f>
        <v>3612.5</v>
      </c>
      <c r="CY21" s="55">
        <f>CW21+CX21</f>
        <v>27162.5</v>
      </c>
      <c r="CZ21" s="56"/>
      <c r="DA21" s="13" t="s">
        <v>22</v>
      </c>
    </row>
    <row r="22" spans="1:105" x14ac:dyDescent="0.2">
      <c r="A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66"/>
      <c r="BG22" s="66"/>
      <c r="BH22" s="66"/>
      <c r="BI22" s="66"/>
      <c r="BJ22" s="66"/>
      <c r="BK22" s="66"/>
      <c r="BL22" s="66"/>
      <c r="BM22" s="66"/>
      <c r="BN22" s="66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W22" s="81" t="s">
        <v>65</v>
      </c>
      <c r="CX22" s="81"/>
      <c r="CY22" s="57">
        <f>SUM(CY3:CY21)</f>
        <v>421775</v>
      </c>
    </row>
    <row r="23" spans="1:105" x14ac:dyDescent="0.2">
      <c r="A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66"/>
      <c r="BG23" s="66"/>
      <c r="BH23" s="66"/>
      <c r="BI23" s="66"/>
      <c r="BJ23" s="66"/>
      <c r="BK23" s="66"/>
      <c r="BL23" s="66"/>
      <c r="BM23" s="66"/>
      <c r="BN23" s="66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W23" s="82" t="s">
        <v>66</v>
      </c>
      <c r="CX23" s="82"/>
      <c r="CY23" s="58">
        <v>95000</v>
      </c>
    </row>
    <row r="24" spans="1:105" x14ac:dyDescent="0.2">
      <c r="A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66"/>
      <c r="BG24" s="66"/>
      <c r="BH24" s="66"/>
      <c r="BI24" s="66"/>
      <c r="BJ24" s="66"/>
      <c r="BK24" s="66"/>
      <c r="BL24" s="66"/>
      <c r="BM24" s="66"/>
      <c r="BN24" s="66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W24" s="83" t="s">
        <v>67</v>
      </c>
      <c r="CX24" s="83"/>
      <c r="CY24" s="59">
        <f>CY22-CY23</f>
        <v>326775</v>
      </c>
    </row>
    <row r="25" spans="1:105" x14ac:dyDescent="0.2">
      <c r="A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66"/>
      <c r="BG25" s="66"/>
      <c r="BH25" s="66"/>
      <c r="BI25" s="66"/>
      <c r="BJ25" s="66"/>
      <c r="BK25" s="66"/>
      <c r="BL25" s="66"/>
      <c r="BM25" s="66"/>
      <c r="BN25" s="66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X25" s="60" t="s">
        <v>68</v>
      </c>
      <c r="CY25" s="11">
        <v>200000</v>
      </c>
    </row>
    <row r="26" spans="1:105" x14ac:dyDescent="0.2">
      <c r="A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66"/>
      <c r="BG26" s="66"/>
      <c r="BH26" s="66"/>
      <c r="BI26" s="66"/>
      <c r="BJ26" s="66"/>
      <c r="BK26" s="66"/>
      <c r="BL26" s="66"/>
      <c r="BM26" s="66"/>
      <c r="BN26" s="66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X26" s="60" t="s">
        <v>69</v>
      </c>
      <c r="CY26" s="11">
        <v>50000</v>
      </c>
    </row>
    <row r="27" spans="1:105" x14ac:dyDescent="0.2">
      <c r="A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66"/>
      <c r="BG27" s="66"/>
      <c r="BH27" s="66"/>
      <c r="BI27" s="66"/>
      <c r="BJ27" s="66"/>
      <c r="BK27" s="66"/>
      <c r="BL27" s="66"/>
      <c r="BM27" s="66"/>
      <c r="BN27" s="66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X27" s="60"/>
      <c r="CY27" s="11"/>
    </row>
  </sheetData>
  <mergeCells count="35"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BR1:BT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CW24:CX24"/>
    <mergeCell ref="BU1:BW1"/>
    <mergeCell ref="BX1:BZ1"/>
    <mergeCell ref="CA1:CC1"/>
    <mergeCell ref="CD1:CF1"/>
    <mergeCell ref="CG1:CI1"/>
    <mergeCell ref="CJ1:CL1"/>
    <mergeCell ref="CM1:CO1"/>
    <mergeCell ref="CP1:CR1"/>
    <mergeCell ref="CS1:CY1"/>
    <mergeCell ref="CW22:CX22"/>
    <mergeCell ref="CW23:CX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Nithish S.</cp:lastModifiedBy>
  <dcterms:created xsi:type="dcterms:W3CDTF">2026-01-27T12:58:12Z</dcterms:created>
  <dcterms:modified xsi:type="dcterms:W3CDTF">2026-01-28T18:43:45Z</dcterms:modified>
</cp:coreProperties>
</file>